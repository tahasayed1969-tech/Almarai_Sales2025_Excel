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slicers/slicer3.xml" ContentType="application/vnd.ms-excel.slicer+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hidePivotFieldList="1"/>
  <mc:AlternateContent xmlns:mc="http://schemas.openxmlformats.org/markup-compatibility/2006">
    <mc:Choice Requires="x15">
      <x15ac:absPath xmlns:x15ac="http://schemas.microsoft.com/office/spreadsheetml/2010/11/ac" url="C:\Users\sh\Desktop\تحليل المراعى\"/>
    </mc:Choice>
  </mc:AlternateContent>
  <xr:revisionPtr revIDLastSave="0" documentId="13_ncr:1_{CB1151CC-D877-4CCC-BE7F-E5C5D3783C35}" xr6:coauthVersionLast="47" xr6:coauthVersionMax="47" xr10:uidLastSave="{00000000-0000-0000-0000-000000000000}"/>
  <bookViews>
    <workbookView xWindow="-120" yWindow="-120" windowWidth="15600" windowHeight="11160" activeTab="3" xr2:uid="{00000000-000D-0000-FFFF-FFFF00000000}"/>
  </bookViews>
  <sheets>
    <sheet name="Sales" sheetId="1" r:id="rId1"/>
    <sheet name="Pivot Table" sheetId="2" r:id="rId2"/>
    <sheet name="DashBoerd" sheetId="3" r:id="rId3"/>
    <sheet name="DachBored2" sheetId="4" r:id="rId4"/>
  </sheets>
  <definedNames>
    <definedName name="_xlcn.WorksheetConnection_Sales2025.xlsxSales1" hidden="1">Sales[]</definedName>
    <definedName name="_xlcn.WorksheetConnection_Sales2025.xlsxTarget1" hidden="1">Target[]</definedName>
    <definedName name="Slicer_الشهور">#N/A</definedName>
  </definedNames>
  <calcPr calcId="191029"/>
  <pivotCaches>
    <pivotCache cacheId="0" r:id="rId5"/>
    <pivotCache cacheId="1" r:id="rId6"/>
    <pivotCache cacheId="2" r:id="rId7"/>
    <pivotCache cacheId="3" r:id="rId8"/>
    <pivotCache cacheId="4" r:id="rId9"/>
    <pivotCache cacheId="5" r:id="rId10"/>
    <pivotCache cacheId="6" r:id="rId11"/>
    <pivotCache cacheId="7" r:id="rId12"/>
    <pivotCache cacheId="8" r:id="rId13"/>
    <pivotCache cacheId="9" r:id="rId14"/>
    <pivotCache cacheId="10" r:id="rId15"/>
    <pivotCache cacheId="11" r:id="rId16"/>
    <pivotCache cacheId="12" r:id="rId17"/>
    <pivotCache cacheId="13" r:id="rId18"/>
  </pivotCaches>
  <extLst>
    <ext xmlns:x14="http://schemas.microsoft.com/office/spreadsheetml/2009/9/main" uri="{876F7934-8845-4945-9796-88D515C7AA90}">
      <x14:pivotCaches>
        <pivotCache cacheId="14"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rget" name="Target" connection="WorksheetConnection_Sales2025.xlsx!Target"/>
          <x15:modelTable id="Sales" name="Sales" connection="WorksheetConnection_Sales2025.xlsx!Sales"/>
        </x15:modelTables>
        <x15:modelRelationships>
          <x15:modelRelationship fromTable="Sales" fromColumn="الشهور" toTable="Target" toColumn="الشهور"/>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1295" i="1" l="1"/>
  <c r="U1295" i="1" s="1"/>
  <c r="O1295" i="1"/>
  <c r="M1295" i="1"/>
  <c r="R1294" i="1"/>
  <c r="U1294" i="1" s="1"/>
  <c r="O1294" i="1"/>
  <c r="M1294" i="1"/>
  <c r="R1293" i="1"/>
  <c r="U1293" i="1" s="1"/>
  <c r="O1293" i="1"/>
  <c r="M1293" i="1"/>
  <c r="R1292" i="1"/>
  <c r="U1292" i="1" s="1"/>
  <c r="O1292" i="1"/>
  <c r="M1292" i="1"/>
  <c r="R1291" i="1"/>
  <c r="U1291" i="1" s="1"/>
  <c r="O1291" i="1"/>
  <c r="M1291" i="1"/>
  <c r="R1290" i="1"/>
  <c r="U1290" i="1" s="1"/>
  <c r="O1290" i="1"/>
  <c r="M1290" i="1"/>
  <c r="R1289" i="1"/>
  <c r="U1289" i="1" s="1"/>
  <c r="O1289" i="1"/>
  <c r="M1289" i="1"/>
  <c r="R1288" i="1"/>
  <c r="U1288" i="1" s="1"/>
  <c r="O1288" i="1"/>
  <c r="M1288" i="1"/>
  <c r="R1287" i="1"/>
  <c r="U1287" i="1" s="1"/>
  <c r="O1287" i="1"/>
  <c r="M1287" i="1"/>
  <c r="R1286" i="1"/>
  <c r="U1286" i="1" s="1"/>
  <c r="O1286" i="1"/>
  <c r="M1286" i="1"/>
  <c r="R1285" i="1"/>
  <c r="U1285" i="1" s="1"/>
  <c r="O1285" i="1"/>
  <c r="M1285" i="1"/>
  <c r="R1284" i="1"/>
  <c r="U1284" i="1" s="1"/>
  <c r="O1284" i="1"/>
  <c r="M1284" i="1"/>
  <c r="R1283" i="1"/>
  <c r="U1283" i="1" s="1"/>
  <c r="O1283" i="1"/>
  <c r="M1283" i="1"/>
  <c r="R1282" i="1"/>
  <c r="U1282" i="1" s="1"/>
  <c r="O1282" i="1"/>
  <c r="M1282" i="1"/>
  <c r="R1281" i="1"/>
  <c r="U1281" i="1" s="1"/>
  <c r="O1281" i="1"/>
  <c r="M1281" i="1"/>
  <c r="R1280" i="1"/>
  <c r="U1280" i="1" s="1"/>
  <c r="O1280" i="1"/>
  <c r="M1280" i="1"/>
  <c r="R1279" i="1"/>
  <c r="U1279" i="1" s="1"/>
  <c r="O1279" i="1"/>
  <c r="M1279" i="1"/>
  <c r="R1278" i="1"/>
  <c r="U1278" i="1" s="1"/>
  <c r="O1278" i="1"/>
  <c r="M1278" i="1"/>
  <c r="R1277" i="1"/>
  <c r="U1277" i="1" s="1"/>
  <c r="O1277" i="1"/>
  <c r="M1277" i="1"/>
  <c r="R1276" i="1"/>
  <c r="U1276" i="1" s="1"/>
  <c r="O1276" i="1"/>
  <c r="M1276" i="1"/>
  <c r="R1275" i="1"/>
  <c r="U1275" i="1" s="1"/>
  <c r="O1275" i="1"/>
  <c r="M1275" i="1"/>
  <c r="R1274" i="1"/>
  <c r="U1274" i="1" s="1"/>
  <c r="O1274" i="1"/>
  <c r="M1274" i="1"/>
  <c r="R1273" i="1"/>
  <c r="U1273" i="1" s="1"/>
  <c r="O1273" i="1"/>
  <c r="M1273" i="1"/>
  <c r="R1272" i="1"/>
  <c r="U1272" i="1" s="1"/>
  <c r="O1272" i="1"/>
  <c r="M1272" i="1"/>
  <c r="R1271" i="1"/>
  <c r="U1271" i="1" s="1"/>
  <c r="O1271" i="1"/>
  <c r="M1271" i="1"/>
  <c r="R1270" i="1"/>
  <c r="U1270" i="1" s="1"/>
  <c r="O1270" i="1"/>
  <c r="M1270" i="1"/>
  <c r="R1269" i="1"/>
  <c r="U1269" i="1" s="1"/>
  <c r="O1269" i="1"/>
  <c r="M1269" i="1"/>
  <c r="R1268" i="1"/>
  <c r="U1268" i="1" s="1"/>
  <c r="O1268" i="1"/>
  <c r="M1268" i="1"/>
  <c r="R1267" i="1"/>
  <c r="U1267" i="1" s="1"/>
  <c r="O1267" i="1"/>
  <c r="M1267" i="1"/>
  <c r="R1266" i="1"/>
  <c r="U1266" i="1" s="1"/>
  <c r="O1266" i="1"/>
  <c r="M1266" i="1"/>
  <c r="R1265" i="1"/>
  <c r="U1265" i="1" s="1"/>
  <c r="O1265" i="1"/>
  <c r="M1265" i="1"/>
  <c r="R1264" i="1"/>
  <c r="U1264" i="1" s="1"/>
  <c r="O1264" i="1"/>
  <c r="M1264" i="1"/>
  <c r="R1263" i="1"/>
  <c r="U1263" i="1" s="1"/>
  <c r="O1263" i="1"/>
  <c r="M1263" i="1"/>
  <c r="R1262" i="1"/>
  <c r="U1262" i="1" s="1"/>
  <c r="O1262" i="1"/>
  <c r="M1262" i="1"/>
  <c r="R1261" i="1"/>
  <c r="U1261" i="1" s="1"/>
  <c r="O1261" i="1"/>
  <c r="M1261" i="1"/>
  <c r="R1260" i="1"/>
  <c r="U1260" i="1" s="1"/>
  <c r="O1260" i="1"/>
  <c r="M1260" i="1"/>
  <c r="R1259" i="1"/>
  <c r="U1259" i="1" s="1"/>
  <c r="O1259" i="1"/>
  <c r="M1259" i="1"/>
  <c r="R1258" i="1"/>
  <c r="U1258" i="1" s="1"/>
  <c r="O1258" i="1"/>
  <c r="M1258" i="1"/>
  <c r="R1257" i="1"/>
  <c r="U1257" i="1" s="1"/>
  <c r="O1257" i="1"/>
  <c r="M1257" i="1"/>
  <c r="R1256" i="1"/>
  <c r="U1256" i="1" s="1"/>
  <c r="O1256" i="1"/>
  <c r="M1256" i="1"/>
  <c r="R1255" i="1"/>
  <c r="U1255" i="1" s="1"/>
  <c r="O1255" i="1"/>
  <c r="M1255" i="1"/>
  <c r="R1254" i="1"/>
  <c r="U1254" i="1" s="1"/>
  <c r="O1254" i="1"/>
  <c r="M1254" i="1"/>
  <c r="R1253" i="1"/>
  <c r="U1253" i="1" s="1"/>
  <c r="O1253" i="1"/>
  <c r="M1253" i="1"/>
  <c r="R1252" i="1"/>
  <c r="U1252" i="1" s="1"/>
  <c r="O1252" i="1"/>
  <c r="M1252" i="1"/>
  <c r="R1251" i="1"/>
  <c r="U1251" i="1" s="1"/>
  <c r="O1251" i="1"/>
  <c r="M1251" i="1"/>
  <c r="R1250" i="1"/>
  <c r="U1250" i="1" s="1"/>
  <c r="O1250" i="1"/>
  <c r="M1250" i="1"/>
  <c r="R1249" i="1"/>
  <c r="U1249" i="1" s="1"/>
  <c r="O1249" i="1"/>
  <c r="M1249" i="1"/>
  <c r="R1248" i="1"/>
  <c r="U1248" i="1" s="1"/>
  <c r="O1248" i="1"/>
  <c r="M1248" i="1"/>
  <c r="R1247" i="1"/>
  <c r="U1247" i="1" s="1"/>
  <c r="O1247" i="1"/>
  <c r="M1247" i="1"/>
  <c r="R1246" i="1"/>
  <c r="U1246" i="1" s="1"/>
  <c r="O1246" i="1"/>
  <c r="M1246" i="1"/>
  <c r="R1245" i="1"/>
  <c r="U1245" i="1" s="1"/>
  <c r="O1245" i="1"/>
  <c r="M1245" i="1"/>
  <c r="R1244" i="1"/>
  <c r="U1244" i="1" s="1"/>
  <c r="O1244" i="1"/>
  <c r="M1244" i="1"/>
  <c r="R1243" i="1"/>
  <c r="U1243" i="1" s="1"/>
  <c r="O1243" i="1"/>
  <c r="M1243" i="1"/>
  <c r="R1242" i="1"/>
  <c r="U1242" i="1" s="1"/>
  <c r="O1242" i="1"/>
  <c r="M1242" i="1"/>
  <c r="R1241" i="1"/>
  <c r="U1241" i="1" s="1"/>
  <c r="O1241" i="1"/>
  <c r="M1241" i="1"/>
  <c r="R1240" i="1"/>
  <c r="U1240" i="1" s="1"/>
  <c r="O1240" i="1"/>
  <c r="M1240" i="1"/>
  <c r="R1239" i="1"/>
  <c r="U1239" i="1" s="1"/>
  <c r="O1239" i="1"/>
  <c r="M1239" i="1"/>
  <c r="R1238" i="1"/>
  <c r="U1238" i="1" s="1"/>
  <c r="O1238" i="1"/>
  <c r="M1238" i="1"/>
  <c r="R1237" i="1"/>
  <c r="U1237" i="1" s="1"/>
  <c r="O1237" i="1"/>
  <c r="M1237" i="1"/>
  <c r="R1236" i="1"/>
  <c r="U1236" i="1" s="1"/>
  <c r="O1236" i="1"/>
  <c r="M1236" i="1"/>
  <c r="R1235" i="1"/>
  <c r="U1235" i="1" s="1"/>
  <c r="O1235" i="1"/>
  <c r="M1235" i="1"/>
  <c r="R1234" i="1"/>
  <c r="U1234" i="1" s="1"/>
  <c r="O1234" i="1"/>
  <c r="M1234" i="1"/>
  <c r="R1233" i="1"/>
  <c r="U1233" i="1" s="1"/>
  <c r="O1233" i="1"/>
  <c r="M1233" i="1"/>
  <c r="R1232" i="1"/>
  <c r="U1232" i="1" s="1"/>
  <c r="O1232" i="1"/>
  <c r="M1232" i="1"/>
  <c r="R1231" i="1"/>
  <c r="U1231" i="1" s="1"/>
  <c r="O1231" i="1"/>
  <c r="M1231" i="1"/>
  <c r="R1230" i="1"/>
  <c r="U1230" i="1" s="1"/>
  <c r="O1230" i="1"/>
  <c r="M1230" i="1"/>
  <c r="R1229" i="1"/>
  <c r="U1229" i="1" s="1"/>
  <c r="O1229" i="1"/>
  <c r="M1229" i="1"/>
  <c r="R1228" i="1"/>
  <c r="U1228" i="1" s="1"/>
  <c r="O1228" i="1"/>
  <c r="M1228" i="1"/>
  <c r="R1227" i="1"/>
  <c r="U1227" i="1" s="1"/>
  <c r="O1227" i="1"/>
  <c r="M1227" i="1"/>
  <c r="R1226" i="1"/>
  <c r="U1226" i="1" s="1"/>
  <c r="O1226" i="1"/>
  <c r="M1226" i="1"/>
  <c r="R1225" i="1"/>
  <c r="U1225" i="1" s="1"/>
  <c r="O1225" i="1"/>
  <c r="M1225" i="1"/>
  <c r="R1224" i="1"/>
  <c r="U1224" i="1" s="1"/>
  <c r="O1224" i="1"/>
  <c r="M1224" i="1"/>
  <c r="R1223" i="1"/>
  <c r="U1223" i="1" s="1"/>
  <c r="O1223" i="1"/>
  <c r="M1223" i="1"/>
  <c r="R1222" i="1"/>
  <c r="U1222" i="1" s="1"/>
  <c r="O1222" i="1"/>
  <c r="M1222" i="1"/>
  <c r="R1221" i="1"/>
  <c r="U1221" i="1" s="1"/>
  <c r="O1221" i="1"/>
  <c r="M1221" i="1"/>
  <c r="R1220" i="1"/>
  <c r="U1220" i="1" s="1"/>
  <c r="O1220" i="1"/>
  <c r="M1220" i="1"/>
  <c r="R1219" i="1"/>
  <c r="U1219" i="1" s="1"/>
  <c r="O1219" i="1"/>
  <c r="M1219" i="1"/>
  <c r="R1218" i="1"/>
  <c r="U1218" i="1" s="1"/>
  <c r="O1218" i="1"/>
  <c r="M1218" i="1"/>
  <c r="R1217" i="1"/>
  <c r="U1217" i="1" s="1"/>
  <c r="O1217" i="1"/>
  <c r="M1217" i="1"/>
  <c r="R1216" i="1"/>
  <c r="U1216" i="1" s="1"/>
  <c r="O1216" i="1"/>
  <c r="M1216" i="1"/>
  <c r="R1215" i="1"/>
  <c r="U1215" i="1" s="1"/>
  <c r="O1215" i="1"/>
  <c r="M1215" i="1"/>
  <c r="R1214" i="1"/>
  <c r="U1214" i="1" s="1"/>
  <c r="O1214" i="1"/>
  <c r="M1214" i="1"/>
  <c r="R1213" i="1"/>
  <c r="U1213" i="1" s="1"/>
  <c r="O1213" i="1"/>
  <c r="M1213" i="1"/>
  <c r="R1212" i="1"/>
  <c r="U1212" i="1" s="1"/>
  <c r="O1212" i="1"/>
  <c r="M1212" i="1"/>
  <c r="R1211" i="1"/>
  <c r="U1211" i="1" s="1"/>
  <c r="O1211" i="1"/>
  <c r="M1211" i="1"/>
  <c r="R1210" i="1"/>
  <c r="U1210" i="1" s="1"/>
  <c r="O1210" i="1"/>
  <c r="M1210" i="1"/>
  <c r="R1209" i="1"/>
  <c r="U1209" i="1" s="1"/>
  <c r="O1209" i="1"/>
  <c r="M1209" i="1"/>
  <c r="R1208" i="1"/>
  <c r="U1208" i="1" s="1"/>
  <c r="O1208" i="1"/>
  <c r="M1208" i="1"/>
  <c r="R1207" i="1"/>
  <c r="U1207" i="1" s="1"/>
  <c r="O1207" i="1"/>
  <c r="M1207" i="1"/>
  <c r="R1206" i="1"/>
  <c r="U1206" i="1" s="1"/>
  <c r="O1206" i="1"/>
  <c r="M1206" i="1"/>
  <c r="R1205" i="1"/>
  <c r="U1205" i="1" s="1"/>
  <c r="O1205" i="1"/>
  <c r="M1205" i="1"/>
  <c r="R1204" i="1"/>
  <c r="U1204" i="1" s="1"/>
  <c r="O1204" i="1"/>
  <c r="M1204" i="1"/>
  <c r="R1203" i="1"/>
  <c r="U1203" i="1" s="1"/>
  <c r="O1203" i="1"/>
  <c r="M1203" i="1"/>
  <c r="R1202" i="1"/>
  <c r="U1202" i="1" s="1"/>
  <c r="O1202" i="1"/>
  <c r="M1202" i="1"/>
  <c r="R1201" i="1"/>
  <c r="U1201" i="1" s="1"/>
  <c r="O1201" i="1"/>
  <c r="M1201" i="1"/>
  <c r="R1200" i="1"/>
  <c r="U1200" i="1" s="1"/>
  <c r="O1200" i="1"/>
  <c r="M1200" i="1"/>
  <c r="R1199" i="1"/>
  <c r="U1199" i="1" s="1"/>
  <c r="O1199" i="1"/>
  <c r="M1199" i="1"/>
  <c r="R1198" i="1"/>
  <c r="U1198" i="1" s="1"/>
  <c r="O1198" i="1"/>
  <c r="M1198" i="1"/>
  <c r="R1197" i="1"/>
  <c r="U1197" i="1" s="1"/>
  <c r="O1197" i="1"/>
  <c r="M1197" i="1"/>
  <c r="R1196" i="1"/>
  <c r="U1196" i="1" s="1"/>
  <c r="O1196" i="1"/>
  <c r="M1196" i="1"/>
  <c r="R1195" i="1"/>
  <c r="U1195" i="1" s="1"/>
  <c r="O1195" i="1"/>
  <c r="M1195" i="1"/>
  <c r="R1194" i="1"/>
  <c r="U1194" i="1" s="1"/>
  <c r="O1194" i="1"/>
  <c r="M1194" i="1"/>
  <c r="R1193" i="1"/>
  <c r="U1193" i="1" s="1"/>
  <c r="O1193" i="1"/>
  <c r="M1193" i="1"/>
  <c r="R1192" i="1"/>
  <c r="U1192" i="1" s="1"/>
  <c r="O1192" i="1"/>
  <c r="M1192" i="1"/>
  <c r="R1191" i="1"/>
  <c r="U1191" i="1" s="1"/>
  <c r="O1191" i="1"/>
  <c r="M1191" i="1"/>
  <c r="R1190" i="1"/>
  <c r="U1190" i="1" s="1"/>
  <c r="O1190" i="1"/>
  <c r="M1190" i="1"/>
  <c r="R1189" i="1"/>
  <c r="U1189" i="1" s="1"/>
  <c r="O1189" i="1"/>
  <c r="M1189" i="1"/>
  <c r="R1188" i="1"/>
  <c r="U1188" i="1" s="1"/>
  <c r="O1188" i="1"/>
  <c r="M1188" i="1"/>
  <c r="R1187" i="1"/>
  <c r="U1187" i="1" s="1"/>
  <c r="O1187" i="1"/>
  <c r="M1187" i="1"/>
  <c r="R1186" i="1"/>
  <c r="U1186" i="1" s="1"/>
  <c r="O1186" i="1"/>
  <c r="M1186" i="1"/>
  <c r="R1185" i="1"/>
  <c r="U1185" i="1" s="1"/>
  <c r="O1185" i="1"/>
  <c r="M1185" i="1"/>
  <c r="R1184" i="1"/>
  <c r="U1184" i="1" s="1"/>
  <c r="O1184" i="1"/>
  <c r="M1184" i="1"/>
  <c r="R1183" i="1"/>
  <c r="U1183" i="1" s="1"/>
  <c r="O1183" i="1"/>
  <c r="M1183" i="1"/>
  <c r="R1182" i="1"/>
  <c r="U1182" i="1" s="1"/>
  <c r="O1182" i="1"/>
  <c r="M1182" i="1"/>
  <c r="R1181" i="1"/>
  <c r="U1181" i="1" s="1"/>
  <c r="O1181" i="1"/>
  <c r="M1181" i="1"/>
  <c r="R1180" i="1"/>
  <c r="U1180" i="1" s="1"/>
  <c r="O1180" i="1"/>
  <c r="M1180" i="1"/>
  <c r="R1179" i="1"/>
  <c r="U1179" i="1" s="1"/>
  <c r="O1179" i="1"/>
  <c r="M1179" i="1"/>
  <c r="R1178" i="1"/>
  <c r="U1178" i="1" s="1"/>
  <c r="O1178" i="1"/>
  <c r="M1178" i="1"/>
  <c r="R1177" i="1"/>
  <c r="U1177" i="1" s="1"/>
  <c r="O1177" i="1"/>
  <c r="M1177" i="1"/>
  <c r="R1176" i="1"/>
  <c r="U1176" i="1" s="1"/>
  <c r="O1176" i="1"/>
  <c r="M1176" i="1"/>
  <c r="R1175" i="1"/>
  <c r="U1175" i="1" s="1"/>
  <c r="O1175" i="1"/>
  <c r="M1175" i="1"/>
  <c r="R1174" i="1"/>
  <c r="U1174" i="1" s="1"/>
  <c r="O1174" i="1"/>
  <c r="M1174" i="1"/>
  <c r="R1173" i="1"/>
  <c r="U1173" i="1" s="1"/>
  <c r="O1173" i="1"/>
  <c r="M1173" i="1"/>
  <c r="R1172" i="1"/>
  <c r="U1172" i="1" s="1"/>
  <c r="O1172" i="1"/>
  <c r="M1172" i="1"/>
  <c r="R1171" i="1"/>
  <c r="U1171" i="1" s="1"/>
  <c r="O1171" i="1"/>
  <c r="M1171" i="1"/>
  <c r="R1170" i="1"/>
  <c r="U1170" i="1" s="1"/>
  <c r="O1170" i="1"/>
  <c r="M1170" i="1"/>
  <c r="R1169" i="1"/>
  <c r="U1169" i="1" s="1"/>
  <c r="O1169" i="1"/>
  <c r="M1169" i="1"/>
  <c r="R1168" i="1"/>
  <c r="U1168" i="1" s="1"/>
  <c r="O1168" i="1"/>
  <c r="M1168" i="1"/>
  <c r="R1167" i="1"/>
  <c r="U1167" i="1" s="1"/>
  <c r="O1167" i="1"/>
  <c r="M1167" i="1"/>
  <c r="R1166" i="1"/>
  <c r="U1166" i="1" s="1"/>
  <c r="O1166" i="1"/>
  <c r="M1166" i="1"/>
  <c r="R1165" i="1"/>
  <c r="U1165" i="1" s="1"/>
  <c r="O1165" i="1"/>
  <c r="M1165" i="1"/>
  <c r="R1164" i="1"/>
  <c r="U1164" i="1" s="1"/>
  <c r="O1164" i="1"/>
  <c r="M1164" i="1"/>
  <c r="R1163" i="1"/>
  <c r="U1163" i="1" s="1"/>
  <c r="O1163" i="1"/>
  <c r="M1163" i="1"/>
  <c r="R1162" i="1"/>
  <c r="U1162" i="1" s="1"/>
  <c r="O1162" i="1"/>
  <c r="M1162" i="1"/>
  <c r="R1161" i="1"/>
  <c r="U1161" i="1" s="1"/>
  <c r="O1161" i="1"/>
  <c r="M1161" i="1"/>
  <c r="R1160" i="1"/>
  <c r="U1160" i="1" s="1"/>
  <c r="O1160" i="1"/>
  <c r="M1160" i="1"/>
  <c r="R1159" i="1"/>
  <c r="U1159" i="1" s="1"/>
  <c r="O1159" i="1"/>
  <c r="M1159" i="1"/>
  <c r="R1158" i="1"/>
  <c r="U1158" i="1" s="1"/>
  <c r="O1158" i="1"/>
  <c r="M1158" i="1"/>
  <c r="R1157" i="1"/>
  <c r="U1157" i="1" s="1"/>
  <c r="O1157" i="1"/>
  <c r="M1157" i="1"/>
  <c r="R1156" i="1"/>
  <c r="U1156" i="1" s="1"/>
  <c r="O1156" i="1"/>
  <c r="M1156" i="1"/>
  <c r="R1155" i="1"/>
  <c r="U1155" i="1" s="1"/>
  <c r="O1155" i="1"/>
  <c r="M1155" i="1"/>
  <c r="R1154" i="1"/>
  <c r="U1154" i="1" s="1"/>
  <c r="O1154" i="1"/>
  <c r="M1154" i="1"/>
  <c r="R1153" i="1"/>
  <c r="U1153" i="1" s="1"/>
  <c r="O1153" i="1"/>
  <c r="M1153" i="1"/>
  <c r="R1152" i="1"/>
  <c r="U1152" i="1" s="1"/>
  <c r="O1152" i="1"/>
  <c r="M1152" i="1"/>
  <c r="R1151" i="1"/>
  <c r="U1151" i="1" s="1"/>
  <c r="O1151" i="1"/>
  <c r="M1151" i="1"/>
  <c r="R1150" i="1"/>
  <c r="U1150" i="1" s="1"/>
  <c r="O1150" i="1"/>
  <c r="M1150" i="1"/>
  <c r="R1149" i="1"/>
  <c r="U1149" i="1" s="1"/>
  <c r="O1149" i="1"/>
  <c r="M1149" i="1"/>
  <c r="R1148" i="1"/>
  <c r="U1148" i="1" s="1"/>
  <c r="O1148" i="1"/>
  <c r="M1148" i="1"/>
  <c r="R1147" i="1"/>
  <c r="U1147" i="1" s="1"/>
  <c r="O1147" i="1"/>
  <c r="M1147" i="1"/>
  <c r="R1146" i="1"/>
  <c r="U1146" i="1" s="1"/>
  <c r="O1146" i="1"/>
  <c r="M1146" i="1"/>
  <c r="R1145" i="1"/>
  <c r="U1145" i="1" s="1"/>
  <c r="O1145" i="1"/>
  <c r="M1145" i="1"/>
  <c r="R1144" i="1"/>
  <c r="U1144" i="1" s="1"/>
  <c r="O1144" i="1"/>
  <c r="M1144" i="1"/>
  <c r="R1143" i="1"/>
  <c r="U1143" i="1" s="1"/>
  <c r="O1143" i="1"/>
  <c r="M1143" i="1"/>
  <c r="R1142" i="1"/>
  <c r="U1142" i="1" s="1"/>
  <c r="O1142" i="1"/>
  <c r="M1142" i="1"/>
  <c r="R1141" i="1"/>
  <c r="U1141" i="1" s="1"/>
  <c r="O1141" i="1"/>
  <c r="M1141" i="1"/>
  <c r="R1140" i="1"/>
  <c r="U1140" i="1" s="1"/>
  <c r="O1140" i="1"/>
  <c r="M1140" i="1"/>
  <c r="R1139" i="1"/>
  <c r="U1139" i="1" s="1"/>
  <c r="O1139" i="1"/>
  <c r="M1139" i="1"/>
  <c r="R1138" i="1"/>
  <c r="U1138" i="1" s="1"/>
  <c r="O1138" i="1"/>
  <c r="M1138" i="1"/>
  <c r="R1137" i="1"/>
  <c r="U1137" i="1" s="1"/>
  <c r="O1137" i="1"/>
  <c r="M1137" i="1"/>
  <c r="R1136" i="1"/>
  <c r="U1136" i="1" s="1"/>
  <c r="O1136" i="1"/>
  <c r="M1136" i="1"/>
  <c r="R1135" i="1"/>
  <c r="U1135" i="1" s="1"/>
  <c r="O1135" i="1"/>
  <c r="M1135" i="1"/>
  <c r="R1134" i="1"/>
  <c r="U1134" i="1" s="1"/>
  <c r="O1134" i="1"/>
  <c r="M1134" i="1"/>
  <c r="R1133" i="1"/>
  <c r="U1133" i="1" s="1"/>
  <c r="O1133" i="1"/>
  <c r="M1133" i="1"/>
  <c r="R1132" i="1"/>
  <c r="U1132" i="1" s="1"/>
  <c r="O1132" i="1"/>
  <c r="M1132" i="1"/>
  <c r="R1131" i="1"/>
  <c r="U1131" i="1" s="1"/>
  <c r="O1131" i="1"/>
  <c r="M1131" i="1"/>
  <c r="R1130" i="1"/>
  <c r="U1130" i="1" s="1"/>
  <c r="O1130" i="1"/>
  <c r="M1130" i="1"/>
  <c r="R1129" i="1"/>
  <c r="U1129" i="1" s="1"/>
  <c r="O1129" i="1"/>
  <c r="M1129" i="1"/>
  <c r="R1128" i="1"/>
  <c r="U1128" i="1" s="1"/>
  <c r="O1128" i="1"/>
  <c r="M1128" i="1"/>
  <c r="R1127" i="1"/>
  <c r="U1127" i="1" s="1"/>
  <c r="O1127" i="1"/>
  <c r="M1127" i="1"/>
  <c r="R1126" i="1"/>
  <c r="U1126" i="1" s="1"/>
  <c r="O1126" i="1"/>
  <c r="M1126" i="1"/>
  <c r="R1125" i="1"/>
  <c r="U1125" i="1" s="1"/>
  <c r="O1125" i="1"/>
  <c r="M1125" i="1"/>
  <c r="R1124" i="1"/>
  <c r="U1124" i="1" s="1"/>
  <c r="O1124" i="1"/>
  <c r="M1124" i="1"/>
  <c r="R1123" i="1"/>
  <c r="U1123" i="1" s="1"/>
  <c r="O1123" i="1"/>
  <c r="M1123" i="1"/>
  <c r="R1122" i="1"/>
  <c r="U1122" i="1" s="1"/>
  <c r="O1122" i="1"/>
  <c r="M1122" i="1"/>
  <c r="R1121" i="1"/>
  <c r="U1121" i="1" s="1"/>
  <c r="O1121" i="1"/>
  <c r="M1121" i="1"/>
  <c r="R1120" i="1"/>
  <c r="U1120" i="1" s="1"/>
  <c r="O1120" i="1"/>
  <c r="M1120" i="1"/>
  <c r="R1119" i="1"/>
  <c r="U1119" i="1" s="1"/>
  <c r="O1119" i="1"/>
  <c r="M1119" i="1"/>
  <c r="R1118" i="1"/>
  <c r="U1118" i="1" s="1"/>
  <c r="O1118" i="1"/>
  <c r="M1118" i="1"/>
  <c r="R1117" i="1"/>
  <c r="U1117" i="1" s="1"/>
  <c r="O1117" i="1"/>
  <c r="M1117" i="1"/>
  <c r="R1116" i="1"/>
  <c r="U1116" i="1" s="1"/>
  <c r="O1116" i="1"/>
  <c r="M1116" i="1"/>
  <c r="R1115" i="1"/>
  <c r="U1115" i="1" s="1"/>
  <c r="O1115" i="1"/>
  <c r="M1115" i="1"/>
  <c r="R1114" i="1"/>
  <c r="U1114" i="1" s="1"/>
  <c r="O1114" i="1"/>
  <c r="M1114" i="1"/>
  <c r="R1113" i="1"/>
  <c r="U1113" i="1" s="1"/>
  <c r="O1113" i="1"/>
  <c r="M1113" i="1"/>
  <c r="R1112" i="1"/>
  <c r="U1112" i="1" s="1"/>
  <c r="O1112" i="1"/>
  <c r="M1112" i="1"/>
  <c r="R1111" i="1"/>
  <c r="U1111" i="1" s="1"/>
  <c r="O1111" i="1"/>
  <c r="M1111" i="1"/>
  <c r="R1110" i="1"/>
  <c r="U1110" i="1" s="1"/>
  <c r="O1110" i="1"/>
  <c r="M1110" i="1"/>
  <c r="R1109" i="1"/>
  <c r="U1109" i="1" s="1"/>
  <c r="O1109" i="1"/>
  <c r="M1109" i="1"/>
  <c r="R1108" i="1"/>
  <c r="U1108" i="1" s="1"/>
  <c r="O1108" i="1"/>
  <c r="M1108" i="1"/>
  <c r="R1107" i="1"/>
  <c r="U1107" i="1" s="1"/>
  <c r="O1107" i="1"/>
  <c r="M1107" i="1"/>
  <c r="R1106" i="1"/>
  <c r="U1106" i="1" s="1"/>
  <c r="O1106" i="1"/>
  <c r="M1106" i="1"/>
  <c r="R1105" i="1"/>
  <c r="U1105" i="1" s="1"/>
  <c r="O1105" i="1"/>
  <c r="M1105" i="1"/>
  <c r="R1104" i="1"/>
  <c r="U1104" i="1" s="1"/>
  <c r="O1104" i="1"/>
  <c r="M1104" i="1"/>
  <c r="R1103" i="1"/>
  <c r="U1103" i="1" s="1"/>
  <c r="O1103" i="1"/>
  <c r="M1103" i="1"/>
  <c r="R1102" i="1"/>
  <c r="U1102" i="1" s="1"/>
  <c r="O1102" i="1"/>
  <c r="M1102" i="1"/>
  <c r="R1101" i="1"/>
  <c r="U1101" i="1" s="1"/>
  <c r="O1101" i="1"/>
  <c r="M1101" i="1"/>
  <c r="R1100" i="1"/>
  <c r="U1100" i="1" s="1"/>
  <c r="O1100" i="1"/>
  <c r="M1100" i="1"/>
  <c r="R1099" i="1"/>
  <c r="U1099" i="1" s="1"/>
  <c r="O1099" i="1"/>
  <c r="M1099" i="1"/>
  <c r="R1098" i="1"/>
  <c r="U1098" i="1" s="1"/>
  <c r="O1098" i="1"/>
  <c r="M1098" i="1"/>
  <c r="R1097" i="1"/>
  <c r="U1097" i="1" s="1"/>
  <c r="O1097" i="1"/>
  <c r="M1097" i="1"/>
  <c r="R1096" i="1"/>
  <c r="U1096" i="1" s="1"/>
  <c r="O1096" i="1"/>
  <c r="M1096" i="1"/>
  <c r="R1095" i="1"/>
  <c r="U1095" i="1" s="1"/>
  <c r="O1095" i="1"/>
  <c r="M1095" i="1"/>
  <c r="R1094" i="1"/>
  <c r="U1094" i="1" s="1"/>
  <c r="O1094" i="1"/>
  <c r="M1094" i="1"/>
  <c r="R1093" i="1"/>
  <c r="U1093" i="1" s="1"/>
  <c r="O1093" i="1"/>
  <c r="M1093" i="1"/>
  <c r="R1092" i="1"/>
  <c r="U1092" i="1" s="1"/>
  <c r="O1092" i="1"/>
  <c r="M1092" i="1"/>
  <c r="R1091" i="1"/>
  <c r="U1091" i="1" s="1"/>
  <c r="O1091" i="1"/>
  <c r="M1091" i="1"/>
  <c r="R1090" i="1"/>
  <c r="U1090" i="1" s="1"/>
  <c r="O1090" i="1"/>
  <c r="M1090" i="1"/>
  <c r="R1089" i="1"/>
  <c r="U1089" i="1" s="1"/>
  <c r="O1089" i="1"/>
  <c r="M1089" i="1"/>
  <c r="R1088" i="1"/>
  <c r="U1088" i="1" s="1"/>
  <c r="O1088" i="1"/>
  <c r="M1088" i="1"/>
  <c r="R1087" i="1"/>
  <c r="U1087" i="1" s="1"/>
  <c r="O1087" i="1"/>
  <c r="M1087" i="1"/>
  <c r="R1086" i="1"/>
  <c r="U1086" i="1" s="1"/>
  <c r="O1086" i="1"/>
  <c r="M1086" i="1"/>
  <c r="R1085" i="1"/>
  <c r="U1085" i="1" s="1"/>
  <c r="O1085" i="1"/>
  <c r="M1085" i="1"/>
  <c r="R1084" i="1"/>
  <c r="U1084" i="1" s="1"/>
  <c r="O1084" i="1"/>
  <c r="M1084" i="1"/>
  <c r="R1083" i="1"/>
  <c r="U1083" i="1" s="1"/>
  <c r="O1083" i="1"/>
  <c r="M1083" i="1"/>
  <c r="R1082" i="1"/>
  <c r="U1082" i="1" s="1"/>
  <c r="O1082" i="1"/>
  <c r="M1082" i="1"/>
  <c r="R1081" i="1"/>
  <c r="U1081" i="1" s="1"/>
  <c r="O1081" i="1"/>
  <c r="M1081" i="1"/>
  <c r="R1080" i="1"/>
  <c r="U1080" i="1" s="1"/>
  <c r="O1080" i="1"/>
  <c r="M1080" i="1"/>
  <c r="R1079" i="1"/>
  <c r="U1079" i="1" s="1"/>
  <c r="O1079" i="1"/>
  <c r="M1079" i="1"/>
  <c r="R1078" i="1"/>
  <c r="U1078" i="1" s="1"/>
  <c r="O1078" i="1"/>
  <c r="M1078" i="1"/>
  <c r="R1077" i="1"/>
  <c r="U1077" i="1" s="1"/>
  <c r="O1077" i="1"/>
  <c r="M1077" i="1"/>
  <c r="R1076" i="1"/>
  <c r="U1076" i="1" s="1"/>
  <c r="O1076" i="1"/>
  <c r="M1076" i="1"/>
  <c r="R1075" i="1"/>
  <c r="U1075" i="1" s="1"/>
  <c r="O1075" i="1"/>
  <c r="M1075" i="1"/>
  <c r="R1074" i="1"/>
  <c r="U1074" i="1" s="1"/>
  <c r="O1074" i="1"/>
  <c r="M1074" i="1"/>
  <c r="R1073" i="1"/>
  <c r="U1073" i="1" s="1"/>
  <c r="O1073" i="1"/>
  <c r="M1073" i="1"/>
  <c r="R1072" i="1"/>
  <c r="U1072" i="1" s="1"/>
  <c r="O1072" i="1"/>
  <c r="M1072" i="1"/>
  <c r="R1071" i="1"/>
  <c r="U1071" i="1" s="1"/>
  <c r="O1071" i="1"/>
  <c r="M1071" i="1"/>
  <c r="R1070" i="1"/>
  <c r="U1070" i="1" s="1"/>
  <c r="O1070" i="1"/>
  <c r="M1070" i="1"/>
  <c r="R1069" i="1"/>
  <c r="U1069" i="1" s="1"/>
  <c r="O1069" i="1"/>
  <c r="M1069" i="1"/>
  <c r="R1068" i="1"/>
  <c r="U1068" i="1" s="1"/>
  <c r="O1068" i="1"/>
  <c r="M1068" i="1"/>
  <c r="R1067" i="1"/>
  <c r="U1067" i="1" s="1"/>
  <c r="O1067" i="1"/>
  <c r="M1067" i="1"/>
  <c r="R1066" i="1"/>
  <c r="U1066" i="1" s="1"/>
  <c r="O1066" i="1"/>
  <c r="M1066" i="1"/>
  <c r="R1065" i="1"/>
  <c r="U1065" i="1" s="1"/>
  <c r="O1065" i="1"/>
  <c r="M1065" i="1"/>
  <c r="R1064" i="1"/>
  <c r="U1064" i="1" s="1"/>
  <c r="O1064" i="1"/>
  <c r="M1064" i="1"/>
  <c r="R1063" i="1"/>
  <c r="U1063" i="1" s="1"/>
  <c r="O1063" i="1"/>
  <c r="M1063" i="1"/>
  <c r="R1062" i="1"/>
  <c r="U1062" i="1" s="1"/>
  <c r="O1062" i="1"/>
  <c r="M1062" i="1"/>
  <c r="R1061" i="1"/>
  <c r="U1061" i="1" s="1"/>
  <c r="O1061" i="1"/>
  <c r="M1061" i="1"/>
  <c r="R1060" i="1"/>
  <c r="U1060" i="1" s="1"/>
  <c r="O1060" i="1"/>
  <c r="M1060" i="1"/>
  <c r="R1059" i="1"/>
  <c r="U1059" i="1" s="1"/>
  <c r="O1059" i="1"/>
  <c r="M1059" i="1"/>
  <c r="R1058" i="1"/>
  <c r="U1058" i="1" s="1"/>
  <c r="O1058" i="1"/>
  <c r="M1058" i="1"/>
  <c r="R1057" i="1"/>
  <c r="U1057" i="1" s="1"/>
  <c r="O1057" i="1"/>
  <c r="M1057" i="1"/>
  <c r="R1056" i="1"/>
  <c r="U1056" i="1" s="1"/>
  <c r="O1056" i="1"/>
  <c r="M1056" i="1"/>
  <c r="R1055" i="1"/>
  <c r="U1055" i="1" s="1"/>
  <c r="O1055" i="1"/>
  <c r="M1055" i="1"/>
  <c r="R1054" i="1"/>
  <c r="U1054" i="1" s="1"/>
  <c r="O1054" i="1"/>
  <c r="M1054" i="1"/>
  <c r="R1053" i="1"/>
  <c r="U1053" i="1" s="1"/>
  <c r="O1053" i="1"/>
  <c r="M1053" i="1"/>
  <c r="R1052" i="1"/>
  <c r="U1052" i="1" s="1"/>
  <c r="O1052" i="1"/>
  <c r="M1052" i="1"/>
  <c r="R1051" i="1"/>
  <c r="U1051" i="1" s="1"/>
  <c r="O1051" i="1"/>
  <c r="M1051" i="1"/>
  <c r="R1050" i="1"/>
  <c r="U1050" i="1" s="1"/>
  <c r="O1050" i="1"/>
  <c r="M1050" i="1"/>
  <c r="R1049" i="1"/>
  <c r="U1049" i="1" s="1"/>
  <c r="O1049" i="1"/>
  <c r="M1049" i="1"/>
  <c r="R1048" i="1"/>
  <c r="U1048" i="1" s="1"/>
  <c r="O1048" i="1"/>
  <c r="M1048" i="1"/>
  <c r="R1047" i="1"/>
  <c r="U1047" i="1" s="1"/>
  <c r="O1047" i="1"/>
  <c r="M1047" i="1"/>
  <c r="R1046" i="1"/>
  <c r="U1046" i="1" s="1"/>
  <c r="O1046" i="1"/>
  <c r="M1046" i="1"/>
  <c r="R1045" i="1"/>
  <c r="U1045" i="1" s="1"/>
  <c r="O1045" i="1"/>
  <c r="M1045" i="1"/>
  <c r="R1044" i="1"/>
  <c r="U1044" i="1" s="1"/>
  <c r="O1044" i="1"/>
  <c r="M1044" i="1"/>
  <c r="R1043" i="1"/>
  <c r="U1043" i="1" s="1"/>
  <c r="O1043" i="1"/>
  <c r="M1043" i="1"/>
  <c r="R1042" i="1"/>
  <c r="U1042" i="1" s="1"/>
  <c r="O1042" i="1"/>
  <c r="M1042" i="1"/>
  <c r="R1041" i="1"/>
  <c r="U1041" i="1" s="1"/>
  <c r="O1041" i="1"/>
  <c r="M1041" i="1"/>
  <c r="R1040" i="1"/>
  <c r="U1040" i="1" s="1"/>
  <c r="O1040" i="1"/>
  <c r="M1040" i="1"/>
  <c r="R1039" i="1"/>
  <c r="U1039" i="1" s="1"/>
  <c r="O1039" i="1"/>
  <c r="M1039" i="1"/>
  <c r="R1038" i="1"/>
  <c r="U1038" i="1" s="1"/>
  <c r="O1038" i="1"/>
  <c r="M1038" i="1"/>
  <c r="R1037" i="1"/>
  <c r="U1037" i="1" s="1"/>
  <c r="O1037" i="1"/>
  <c r="M1037" i="1"/>
  <c r="R1036" i="1"/>
  <c r="U1036" i="1" s="1"/>
  <c r="O1036" i="1"/>
  <c r="M1036" i="1"/>
  <c r="R1035" i="1"/>
  <c r="U1035" i="1" s="1"/>
  <c r="O1035" i="1"/>
  <c r="M1035" i="1"/>
  <c r="R1034" i="1"/>
  <c r="U1034" i="1" s="1"/>
  <c r="O1034" i="1"/>
  <c r="M1034" i="1"/>
  <c r="R1033" i="1"/>
  <c r="U1033" i="1" s="1"/>
  <c r="O1033" i="1"/>
  <c r="M1033" i="1"/>
  <c r="R1032" i="1"/>
  <c r="U1032" i="1" s="1"/>
  <c r="O1032" i="1"/>
  <c r="M1032" i="1"/>
  <c r="R1031" i="1"/>
  <c r="U1031" i="1" s="1"/>
  <c r="O1031" i="1"/>
  <c r="M1031" i="1"/>
  <c r="R1030" i="1"/>
  <c r="U1030" i="1" s="1"/>
  <c r="O1030" i="1"/>
  <c r="M1030" i="1"/>
  <c r="R1029" i="1"/>
  <c r="U1029" i="1" s="1"/>
  <c r="O1029" i="1"/>
  <c r="M1029" i="1"/>
  <c r="R1028" i="1"/>
  <c r="U1028" i="1" s="1"/>
  <c r="O1028" i="1"/>
  <c r="M1028" i="1"/>
  <c r="R1027" i="1"/>
  <c r="U1027" i="1" s="1"/>
  <c r="O1027" i="1"/>
  <c r="M1027" i="1"/>
  <c r="R1026" i="1"/>
  <c r="U1026" i="1" s="1"/>
  <c r="O1026" i="1"/>
  <c r="M1026" i="1"/>
  <c r="R1025" i="1"/>
  <c r="U1025" i="1" s="1"/>
  <c r="O1025" i="1"/>
  <c r="M1025" i="1"/>
  <c r="R1024" i="1"/>
  <c r="U1024" i="1" s="1"/>
  <c r="O1024" i="1"/>
  <c r="M1024" i="1"/>
  <c r="R1023" i="1"/>
  <c r="U1023" i="1" s="1"/>
  <c r="O1023" i="1"/>
  <c r="M1023" i="1"/>
  <c r="R1022" i="1"/>
  <c r="U1022" i="1" s="1"/>
  <c r="O1022" i="1"/>
  <c r="M1022" i="1"/>
  <c r="R1021" i="1"/>
  <c r="U1021" i="1" s="1"/>
  <c r="O1021" i="1"/>
  <c r="M1021" i="1"/>
  <c r="R1020" i="1"/>
  <c r="U1020" i="1" s="1"/>
  <c r="O1020" i="1"/>
  <c r="M1020" i="1"/>
  <c r="R1019" i="1"/>
  <c r="U1019" i="1" s="1"/>
  <c r="O1019" i="1"/>
  <c r="M1019" i="1"/>
  <c r="R1018" i="1"/>
  <c r="U1018" i="1" s="1"/>
  <c r="O1018" i="1"/>
  <c r="M1018" i="1"/>
  <c r="R1017" i="1"/>
  <c r="U1017" i="1" s="1"/>
  <c r="O1017" i="1"/>
  <c r="M1017" i="1"/>
  <c r="R1016" i="1"/>
  <c r="U1016" i="1" s="1"/>
  <c r="O1016" i="1"/>
  <c r="M1016" i="1"/>
  <c r="R1015" i="1"/>
  <c r="U1015" i="1" s="1"/>
  <c r="O1015" i="1"/>
  <c r="M1015" i="1"/>
  <c r="R1014" i="1"/>
  <c r="U1014" i="1" s="1"/>
  <c r="O1014" i="1"/>
  <c r="M1014" i="1"/>
  <c r="R1013" i="1"/>
  <c r="U1013" i="1" s="1"/>
  <c r="O1013" i="1"/>
  <c r="M1013" i="1"/>
  <c r="R1012" i="1"/>
  <c r="U1012" i="1" s="1"/>
  <c r="O1012" i="1"/>
  <c r="M1012" i="1"/>
  <c r="R1011" i="1"/>
  <c r="U1011" i="1" s="1"/>
  <c r="O1011" i="1"/>
  <c r="M1011" i="1"/>
  <c r="R1010" i="1"/>
  <c r="U1010" i="1" s="1"/>
  <c r="O1010" i="1"/>
  <c r="M1010" i="1"/>
  <c r="R1009" i="1"/>
  <c r="U1009" i="1" s="1"/>
  <c r="O1009" i="1"/>
  <c r="M1009" i="1"/>
  <c r="R1008" i="1"/>
  <c r="U1008" i="1" s="1"/>
  <c r="O1008" i="1"/>
  <c r="M1008" i="1"/>
  <c r="R1007" i="1"/>
  <c r="U1007" i="1" s="1"/>
  <c r="O1007" i="1"/>
  <c r="M1007" i="1"/>
  <c r="R1006" i="1"/>
  <c r="U1006" i="1" s="1"/>
  <c r="O1006" i="1"/>
  <c r="M1006" i="1"/>
  <c r="R1005" i="1"/>
  <c r="U1005" i="1" s="1"/>
  <c r="O1005" i="1"/>
  <c r="M1005" i="1"/>
  <c r="R1004" i="1"/>
  <c r="U1004" i="1" s="1"/>
  <c r="O1004" i="1"/>
  <c r="M1004" i="1"/>
  <c r="R1003" i="1"/>
  <c r="U1003" i="1" s="1"/>
  <c r="O1003" i="1"/>
  <c r="M1003" i="1"/>
  <c r="R1002" i="1"/>
  <c r="U1002" i="1" s="1"/>
  <c r="O1002" i="1"/>
  <c r="M1002" i="1"/>
  <c r="R1001" i="1"/>
  <c r="U1001" i="1" s="1"/>
  <c r="O1001" i="1"/>
  <c r="M1001" i="1"/>
  <c r="R1000" i="1"/>
  <c r="U1000" i="1" s="1"/>
  <c r="O1000" i="1"/>
  <c r="M1000" i="1"/>
  <c r="R999" i="1"/>
  <c r="U999" i="1" s="1"/>
  <c r="O999" i="1"/>
  <c r="M999" i="1"/>
  <c r="R998" i="1"/>
  <c r="U998" i="1" s="1"/>
  <c r="O998" i="1"/>
  <c r="M998" i="1"/>
  <c r="R997" i="1"/>
  <c r="U997" i="1" s="1"/>
  <c r="O997" i="1"/>
  <c r="M997" i="1"/>
  <c r="R996" i="1"/>
  <c r="U996" i="1" s="1"/>
  <c r="O996" i="1"/>
  <c r="M996" i="1"/>
  <c r="R995" i="1"/>
  <c r="U995" i="1" s="1"/>
  <c r="O995" i="1"/>
  <c r="M995" i="1"/>
  <c r="R994" i="1"/>
  <c r="U994" i="1" s="1"/>
  <c r="O994" i="1"/>
  <c r="M994" i="1"/>
  <c r="R993" i="1"/>
  <c r="U993" i="1" s="1"/>
  <c r="O993" i="1"/>
  <c r="M993" i="1"/>
  <c r="R992" i="1"/>
  <c r="U992" i="1" s="1"/>
  <c r="O992" i="1"/>
  <c r="M992" i="1"/>
  <c r="R991" i="1"/>
  <c r="U991" i="1" s="1"/>
  <c r="O991" i="1"/>
  <c r="M991" i="1"/>
  <c r="R990" i="1"/>
  <c r="U990" i="1" s="1"/>
  <c r="O990" i="1"/>
  <c r="M990" i="1"/>
  <c r="R989" i="1"/>
  <c r="U989" i="1" s="1"/>
  <c r="O989" i="1"/>
  <c r="M989" i="1"/>
  <c r="R988" i="1"/>
  <c r="U988" i="1" s="1"/>
  <c r="O988" i="1"/>
  <c r="M988" i="1"/>
  <c r="R987" i="1"/>
  <c r="U987" i="1" s="1"/>
  <c r="O987" i="1"/>
  <c r="M987" i="1"/>
  <c r="R986" i="1"/>
  <c r="U986" i="1" s="1"/>
  <c r="O986" i="1"/>
  <c r="M986" i="1"/>
  <c r="R985" i="1"/>
  <c r="U985" i="1" s="1"/>
  <c r="O985" i="1"/>
  <c r="M985" i="1"/>
  <c r="R984" i="1"/>
  <c r="U984" i="1" s="1"/>
  <c r="O984" i="1"/>
  <c r="M984" i="1"/>
  <c r="R983" i="1"/>
  <c r="U983" i="1" s="1"/>
  <c r="O983" i="1"/>
  <c r="M983" i="1"/>
  <c r="R982" i="1"/>
  <c r="U982" i="1" s="1"/>
  <c r="O982" i="1"/>
  <c r="M982" i="1"/>
  <c r="R981" i="1"/>
  <c r="U981" i="1" s="1"/>
  <c r="O981" i="1"/>
  <c r="M981" i="1"/>
  <c r="R980" i="1"/>
  <c r="U980" i="1" s="1"/>
  <c r="O980" i="1"/>
  <c r="M980" i="1"/>
  <c r="R979" i="1"/>
  <c r="U979" i="1" s="1"/>
  <c r="O979" i="1"/>
  <c r="M979" i="1"/>
  <c r="R978" i="1"/>
  <c r="U978" i="1" s="1"/>
  <c r="O978" i="1"/>
  <c r="M978" i="1"/>
  <c r="R977" i="1"/>
  <c r="U977" i="1" s="1"/>
  <c r="O977" i="1"/>
  <c r="M977" i="1"/>
  <c r="R976" i="1"/>
  <c r="U976" i="1" s="1"/>
  <c r="O976" i="1"/>
  <c r="M976" i="1"/>
  <c r="R975" i="1"/>
  <c r="U975" i="1" s="1"/>
  <c r="O975" i="1"/>
  <c r="M975" i="1"/>
  <c r="R974" i="1"/>
  <c r="U974" i="1" s="1"/>
  <c r="O974" i="1"/>
  <c r="M974" i="1"/>
  <c r="R973" i="1"/>
  <c r="U973" i="1" s="1"/>
  <c r="O973" i="1"/>
  <c r="M973" i="1"/>
  <c r="R972" i="1"/>
  <c r="U972" i="1" s="1"/>
  <c r="O972" i="1"/>
  <c r="M972" i="1"/>
  <c r="R971" i="1"/>
  <c r="U971" i="1" s="1"/>
  <c r="O971" i="1"/>
  <c r="M971" i="1"/>
  <c r="R970" i="1"/>
  <c r="U970" i="1" s="1"/>
  <c r="O970" i="1"/>
  <c r="M970" i="1"/>
  <c r="R969" i="1"/>
  <c r="U969" i="1" s="1"/>
  <c r="O969" i="1"/>
  <c r="M969" i="1"/>
  <c r="R968" i="1"/>
  <c r="U968" i="1" s="1"/>
  <c r="O968" i="1"/>
  <c r="M968" i="1"/>
  <c r="R967" i="1"/>
  <c r="U967" i="1" s="1"/>
  <c r="O967" i="1"/>
  <c r="M967" i="1"/>
  <c r="R966" i="1"/>
  <c r="U966" i="1" s="1"/>
  <c r="O966" i="1"/>
  <c r="M966" i="1"/>
  <c r="R965" i="1"/>
  <c r="U965" i="1" s="1"/>
  <c r="O965" i="1"/>
  <c r="M965" i="1"/>
  <c r="R964" i="1"/>
  <c r="U964" i="1" s="1"/>
  <c r="O964" i="1"/>
  <c r="M964" i="1"/>
  <c r="R963" i="1"/>
  <c r="U963" i="1" s="1"/>
  <c r="O963" i="1"/>
  <c r="M963" i="1"/>
  <c r="R962" i="1"/>
  <c r="U962" i="1" s="1"/>
  <c r="O962" i="1"/>
  <c r="M962" i="1"/>
  <c r="R961" i="1"/>
  <c r="U961" i="1" s="1"/>
  <c r="O961" i="1"/>
  <c r="M961" i="1"/>
  <c r="R960" i="1"/>
  <c r="U960" i="1" s="1"/>
  <c r="O960" i="1"/>
  <c r="M960" i="1"/>
  <c r="R959" i="1"/>
  <c r="U959" i="1" s="1"/>
  <c r="O959" i="1"/>
  <c r="M959" i="1"/>
  <c r="R958" i="1"/>
  <c r="U958" i="1" s="1"/>
  <c r="O958" i="1"/>
  <c r="M958" i="1"/>
  <c r="R957" i="1"/>
  <c r="U957" i="1" s="1"/>
  <c r="O957" i="1"/>
  <c r="M957" i="1"/>
  <c r="R956" i="1"/>
  <c r="U956" i="1" s="1"/>
  <c r="O956" i="1"/>
  <c r="M956" i="1"/>
  <c r="R955" i="1"/>
  <c r="U955" i="1" s="1"/>
  <c r="O955" i="1"/>
  <c r="M955" i="1"/>
  <c r="R954" i="1"/>
  <c r="U954" i="1" s="1"/>
  <c r="O954" i="1"/>
  <c r="M954" i="1"/>
  <c r="R953" i="1"/>
  <c r="U953" i="1" s="1"/>
  <c r="O953" i="1"/>
  <c r="M953" i="1"/>
  <c r="R952" i="1"/>
  <c r="U952" i="1" s="1"/>
  <c r="O952" i="1"/>
  <c r="M952" i="1"/>
  <c r="R951" i="1"/>
  <c r="U951" i="1" s="1"/>
  <c r="O951" i="1"/>
  <c r="M951" i="1"/>
  <c r="R950" i="1"/>
  <c r="U950" i="1" s="1"/>
  <c r="O950" i="1"/>
  <c r="M950" i="1"/>
  <c r="R949" i="1"/>
  <c r="U949" i="1" s="1"/>
  <c r="O949" i="1"/>
  <c r="M949" i="1"/>
  <c r="R948" i="1"/>
  <c r="U948" i="1" s="1"/>
  <c r="O948" i="1"/>
  <c r="M948" i="1"/>
  <c r="R947" i="1"/>
  <c r="U947" i="1" s="1"/>
  <c r="O947" i="1"/>
  <c r="M947" i="1"/>
  <c r="R946" i="1"/>
  <c r="U946" i="1" s="1"/>
  <c r="O946" i="1"/>
  <c r="M946" i="1"/>
  <c r="R945" i="1"/>
  <c r="U945" i="1" s="1"/>
  <c r="O945" i="1"/>
  <c r="M945" i="1"/>
  <c r="R944" i="1"/>
  <c r="U944" i="1" s="1"/>
  <c r="O944" i="1"/>
  <c r="M944" i="1"/>
  <c r="R943" i="1"/>
  <c r="U943" i="1" s="1"/>
  <c r="O943" i="1"/>
  <c r="M943" i="1"/>
  <c r="R942" i="1"/>
  <c r="U942" i="1" s="1"/>
  <c r="O942" i="1"/>
  <c r="M942" i="1"/>
  <c r="R941" i="1"/>
  <c r="U941" i="1" s="1"/>
  <c r="O941" i="1"/>
  <c r="M941" i="1"/>
  <c r="R940" i="1"/>
  <c r="U940" i="1" s="1"/>
  <c r="O940" i="1"/>
  <c r="M940" i="1"/>
  <c r="R939" i="1"/>
  <c r="U939" i="1" s="1"/>
  <c r="O939" i="1"/>
  <c r="M939" i="1"/>
  <c r="R938" i="1"/>
  <c r="U938" i="1" s="1"/>
  <c r="O938" i="1"/>
  <c r="M938" i="1"/>
  <c r="R937" i="1"/>
  <c r="U937" i="1" s="1"/>
  <c r="O937" i="1"/>
  <c r="M937" i="1"/>
  <c r="R936" i="1"/>
  <c r="U936" i="1" s="1"/>
  <c r="O936" i="1"/>
  <c r="M936" i="1"/>
  <c r="R935" i="1"/>
  <c r="U935" i="1" s="1"/>
  <c r="O935" i="1"/>
  <c r="M935" i="1"/>
  <c r="R934" i="1"/>
  <c r="U934" i="1" s="1"/>
  <c r="O934" i="1"/>
  <c r="M934" i="1"/>
  <c r="R933" i="1"/>
  <c r="U933" i="1" s="1"/>
  <c r="O933" i="1"/>
  <c r="M933" i="1"/>
  <c r="R932" i="1"/>
  <c r="U932" i="1" s="1"/>
  <c r="O932" i="1"/>
  <c r="M932" i="1"/>
  <c r="R931" i="1"/>
  <c r="U931" i="1" s="1"/>
  <c r="O931" i="1"/>
  <c r="M931" i="1"/>
  <c r="R930" i="1"/>
  <c r="U930" i="1" s="1"/>
  <c r="O930" i="1"/>
  <c r="M930" i="1"/>
  <c r="R929" i="1"/>
  <c r="U929" i="1" s="1"/>
  <c r="O929" i="1"/>
  <c r="M929" i="1"/>
  <c r="R928" i="1"/>
  <c r="U928" i="1" s="1"/>
  <c r="O928" i="1"/>
  <c r="M928" i="1"/>
  <c r="R927" i="1"/>
  <c r="U927" i="1" s="1"/>
  <c r="O927" i="1"/>
  <c r="M927" i="1"/>
  <c r="R926" i="1"/>
  <c r="U926" i="1" s="1"/>
  <c r="O926" i="1"/>
  <c r="M926" i="1"/>
  <c r="R925" i="1"/>
  <c r="U925" i="1" s="1"/>
  <c r="O925" i="1"/>
  <c r="M925" i="1"/>
  <c r="R924" i="1"/>
  <c r="U924" i="1" s="1"/>
  <c r="O924" i="1"/>
  <c r="M924" i="1"/>
  <c r="R923" i="1"/>
  <c r="U923" i="1" s="1"/>
  <c r="O923" i="1"/>
  <c r="M923" i="1"/>
  <c r="R922" i="1"/>
  <c r="U922" i="1" s="1"/>
  <c r="O922" i="1"/>
  <c r="M922" i="1"/>
  <c r="R921" i="1"/>
  <c r="U921" i="1" s="1"/>
  <c r="O921" i="1"/>
  <c r="M921" i="1"/>
  <c r="R920" i="1"/>
  <c r="U920" i="1" s="1"/>
  <c r="O920" i="1"/>
  <c r="M920" i="1"/>
  <c r="R919" i="1"/>
  <c r="U919" i="1" s="1"/>
  <c r="O919" i="1"/>
  <c r="M919" i="1"/>
  <c r="R918" i="1"/>
  <c r="U918" i="1" s="1"/>
  <c r="O918" i="1"/>
  <c r="M918" i="1"/>
  <c r="R917" i="1"/>
  <c r="U917" i="1" s="1"/>
  <c r="O917" i="1"/>
  <c r="M917" i="1"/>
  <c r="R916" i="1"/>
  <c r="U916" i="1" s="1"/>
  <c r="O916" i="1"/>
  <c r="M916" i="1"/>
  <c r="R915" i="1"/>
  <c r="U915" i="1" s="1"/>
  <c r="O915" i="1"/>
  <c r="M915" i="1"/>
  <c r="R914" i="1"/>
  <c r="U914" i="1" s="1"/>
  <c r="O914" i="1"/>
  <c r="M914" i="1"/>
  <c r="R913" i="1"/>
  <c r="U913" i="1" s="1"/>
  <c r="O913" i="1"/>
  <c r="M913" i="1"/>
  <c r="R912" i="1"/>
  <c r="U912" i="1" s="1"/>
  <c r="O912" i="1"/>
  <c r="M912" i="1"/>
  <c r="R911" i="1"/>
  <c r="U911" i="1" s="1"/>
  <c r="O911" i="1"/>
  <c r="M911" i="1"/>
  <c r="R910" i="1"/>
  <c r="U910" i="1" s="1"/>
  <c r="O910" i="1"/>
  <c r="M910" i="1"/>
  <c r="R909" i="1"/>
  <c r="U909" i="1" s="1"/>
  <c r="O909" i="1"/>
  <c r="M909" i="1"/>
  <c r="R908" i="1"/>
  <c r="U908" i="1" s="1"/>
  <c r="O908" i="1"/>
  <c r="M908" i="1"/>
  <c r="R907" i="1"/>
  <c r="U907" i="1" s="1"/>
  <c r="O907" i="1"/>
  <c r="M907" i="1"/>
  <c r="R906" i="1"/>
  <c r="U906" i="1" s="1"/>
  <c r="O906" i="1"/>
  <c r="M906" i="1"/>
  <c r="R905" i="1"/>
  <c r="U905" i="1" s="1"/>
  <c r="O905" i="1"/>
  <c r="M905" i="1"/>
  <c r="R904" i="1"/>
  <c r="U904" i="1" s="1"/>
  <c r="O904" i="1"/>
  <c r="M904" i="1"/>
  <c r="R903" i="1"/>
  <c r="U903" i="1" s="1"/>
  <c r="O903" i="1"/>
  <c r="M903" i="1"/>
  <c r="R902" i="1"/>
  <c r="U902" i="1" s="1"/>
  <c r="O902" i="1"/>
  <c r="M902" i="1"/>
  <c r="R901" i="1"/>
  <c r="U901" i="1" s="1"/>
  <c r="O901" i="1"/>
  <c r="M901" i="1"/>
  <c r="R900" i="1"/>
  <c r="U900" i="1" s="1"/>
  <c r="O900" i="1"/>
  <c r="M900" i="1"/>
  <c r="R899" i="1"/>
  <c r="U899" i="1" s="1"/>
  <c r="O899" i="1"/>
  <c r="M899" i="1"/>
  <c r="R898" i="1"/>
  <c r="U898" i="1" s="1"/>
  <c r="O898" i="1"/>
  <c r="M898" i="1"/>
  <c r="R897" i="1"/>
  <c r="U897" i="1" s="1"/>
  <c r="O897" i="1"/>
  <c r="M897" i="1"/>
  <c r="R896" i="1"/>
  <c r="U896" i="1" s="1"/>
  <c r="O896" i="1"/>
  <c r="M896" i="1"/>
  <c r="R895" i="1"/>
  <c r="U895" i="1" s="1"/>
  <c r="O895" i="1"/>
  <c r="M895" i="1"/>
  <c r="R894" i="1"/>
  <c r="U894" i="1" s="1"/>
  <c r="O894" i="1"/>
  <c r="M894" i="1"/>
  <c r="R893" i="1"/>
  <c r="U893" i="1" s="1"/>
  <c r="O893" i="1"/>
  <c r="M893" i="1"/>
  <c r="R892" i="1"/>
  <c r="U892" i="1" s="1"/>
  <c r="O892" i="1"/>
  <c r="M892" i="1"/>
  <c r="R891" i="1"/>
  <c r="U891" i="1" s="1"/>
  <c r="O891" i="1"/>
  <c r="M891" i="1"/>
  <c r="R890" i="1"/>
  <c r="U890" i="1" s="1"/>
  <c r="O890" i="1"/>
  <c r="M890" i="1"/>
  <c r="R889" i="1"/>
  <c r="U889" i="1" s="1"/>
  <c r="O889" i="1"/>
  <c r="M889" i="1"/>
  <c r="R888" i="1"/>
  <c r="U888" i="1" s="1"/>
  <c r="O888" i="1"/>
  <c r="M888" i="1"/>
  <c r="R887" i="1"/>
  <c r="U887" i="1" s="1"/>
  <c r="O887" i="1"/>
  <c r="M887" i="1"/>
  <c r="R886" i="1"/>
  <c r="U886" i="1" s="1"/>
  <c r="O886" i="1"/>
  <c r="M886" i="1"/>
  <c r="R885" i="1"/>
  <c r="U885" i="1" s="1"/>
  <c r="O885" i="1"/>
  <c r="M885" i="1"/>
  <c r="R884" i="1"/>
  <c r="U884" i="1" s="1"/>
  <c r="O884" i="1"/>
  <c r="M884" i="1"/>
  <c r="R883" i="1"/>
  <c r="U883" i="1" s="1"/>
  <c r="O883" i="1"/>
  <c r="M883" i="1"/>
  <c r="R882" i="1"/>
  <c r="U882" i="1" s="1"/>
  <c r="O882" i="1"/>
  <c r="M882" i="1"/>
  <c r="R881" i="1"/>
  <c r="U881" i="1" s="1"/>
  <c r="O881" i="1"/>
  <c r="M881" i="1"/>
  <c r="R880" i="1"/>
  <c r="U880" i="1" s="1"/>
  <c r="O880" i="1"/>
  <c r="M880" i="1"/>
  <c r="R879" i="1"/>
  <c r="U879" i="1" s="1"/>
  <c r="O879" i="1"/>
  <c r="M879" i="1"/>
  <c r="R878" i="1"/>
  <c r="U878" i="1" s="1"/>
  <c r="O878" i="1"/>
  <c r="M878" i="1"/>
  <c r="R877" i="1"/>
  <c r="U877" i="1" s="1"/>
  <c r="O877" i="1"/>
  <c r="M877" i="1"/>
  <c r="R876" i="1"/>
  <c r="U876" i="1" s="1"/>
  <c r="O876" i="1"/>
  <c r="M876" i="1"/>
  <c r="R875" i="1"/>
  <c r="U875" i="1" s="1"/>
  <c r="O875" i="1"/>
  <c r="M875" i="1"/>
  <c r="R874" i="1"/>
  <c r="U874" i="1" s="1"/>
  <c r="O874" i="1"/>
  <c r="M874" i="1"/>
  <c r="R873" i="1"/>
  <c r="U873" i="1" s="1"/>
  <c r="O873" i="1"/>
  <c r="M873" i="1"/>
  <c r="R872" i="1"/>
  <c r="U872" i="1" s="1"/>
  <c r="O872" i="1"/>
  <c r="M872" i="1"/>
  <c r="R871" i="1"/>
  <c r="U871" i="1" s="1"/>
  <c r="O871" i="1"/>
  <c r="M871" i="1"/>
  <c r="R870" i="1"/>
  <c r="U870" i="1" s="1"/>
  <c r="O870" i="1"/>
  <c r="M870" i="1"/>
  <c r="R869" i="1"/>
  <c r="U869" i="1" s="1"/>
  <c r="O869" i="1"/>
  <c r="M869" i="1"/>
  <c r="R868" i="1"/>
  <c r="U868" i="1" s="1"/>
  <c r="O868" i="1"/>
  <c r="M868" i="1"/>
  <c r="R867" i="1"/>
  <c r="U867" i="1" s="1"/>
  <c r="O867" i="1"/>
  <c r="M867" i="1"/>
  <c r="R866" i="1"/>
  <c r="U866" i="1" s="1"/>
  <c r="O866" i="1"/>
  <c r="M866" i="1"/>
  <c r="R865" i="1"/>
  <c r="U865" i="1" s="1"/>
  <c r="O865" i="1"/>
  <c r="M865" i="1"/>
  <c r="R864" i="1"/>
  <c r="U864" i="1" s="1"/>
  <c r="O864" i="1"/>
  <c r="M864" i="1"/>
  <c r="R863" i="1"/>
  <c r="U863" i="1" s="1"/>
  <c r="O863" i="1"/>
  <c r="M863" i="1"/>
  <c r="R862" i="1"/>
  <c r="U862" i="1" s="1"/>
  <c r="O862" i="1"/>
  <c r="M862" i="1"/>
  <c r="R861" i="1"/>
  <c r="U861" i="1" s="1"/>
  <c r="O861" i="1"/>
  <c r="M861" i="1"/>
  <c r="R860" i="1"/>
  <c r="U860" i="1" s="1"/>
  <c r="O860" i="1"/>
  <c r="M860" i="1"/>
  <c r="R859" i="1"/>
  <c r="U859" i="1" s="1"/>
  <c r="O859" i="1"/>
  <c r="M859" i="1"/>
  <c r="R858" i="1"/>
  <c r="U858" i="1" s="1"/>
  <c r="O858" i="1"/>
  <c r="M858" i="1"/>
  <c r="R857" i="1"/>
  <c r="U857" i="1" s="1"/>
  <c r="O857" i="1"/>
  <c r="M857" i="1"/>
  <c r="R856" i="1"/>
  <c r="U856" i="1" s="1"/>
  <c r="O856" i="1"/>
  <c r="M856" i="1"/>
  <c r="R855" i="1"/>
  <c r="U855" i="1" s="1"/>
  <c r="O855" i="1"/>
  <c r="M855" i="1"/>
  <c r="R854" i="1"/>
  <c r="U854" i="1" s="1"/>
  <c r="O854" i="1"/>
  <c r="M854" i="1"/>
  <c r="R853" i="1"/>
  <c r="U853" i="1" s="1"/>
  <c r="O853" i="1"/>
  <c r="M853" i="1"/>
  <c r="R852" i="1"/>
  <c r="U852" i="1" s="1"/>
  <c r="O852" i="1"/>
  <c r="M852" i="1"/>
  <c r="R851" i="1"/>
  <c r="U851" i="1" s="1"/>
  <c r="O851" i="1"/>
  <c r="M851" i="1"/>
  <c r="R850" i="1"/>
  <c r="U850" i="1" s="1"/>
  <c r="O850" i="1"/>
  <c r="M850" i="1"/>
  <c r="R849" i="1"/>
  <c r="U849" i="1" s="1"/>
  <c r="O849" i="1"/>
  <c r="M849" i="1"/>
  <c r="R848" i="1"/>
  <c r="U848" i="1" s="1"/>
  <c r="O848" i="1"/>
  <c r="M848" i="1"/>
  <c r="R847" i="1"/>
  <c r="U847" i="1" s="1"/>
  <c r="O847" i="1"/>
  <c r="M847" i="1"/>
  <c r="R846" i="1"/>
  <c r="U846" i="1" s="1"/>
  <c r="O846" i="1"/>
  <c r="M846" i="1"/>
  <c r="R845" i="1"/>
  <c r="U845" i="1" s="1"/>
  <c r="O845" i="1"/>
  <c r="M845" i="1"/>
  <c r="R844" i="1"/>
  <c r="U844" i="1" s="1"/>
  <c r="O844" i="1"/>
  <c r="M844" i="1"/>
  <c r="R843" i="1"/>
  <c r="U843" i="1" s="1"/>
  <c r="O843" i="1"/>
  <c r="M843" i="1"/>
  <c r="R842" i="1"/>
  <c r="U842" i="1" s="1"/>
  <c r="O842" i="1"/>
  <c r="M842" i="1"/>
  <c r="R841" i="1"/>
  <c r="U841" i="1" s="1"/>
  <c r="O841" i="1"/>
  <c r="M841" i="1"/>
  <c r="R840" i="1"/>
  <c r="U840" i="1" s="1"/>
  <c r="O840" i="1"/>
  <c r="M840" i="1"/>
  <c r="R839" i="1"/>
  <c r="U839" i="1" s="1"/>
  <c r="O839" i="1"/>
  <c r="M839" i="1"/>
  <c r="R838" i="1"/>
  <c r="U838" i="1" s="1"/>
  <c r="O838" i="1"/>
  <c r="M838" i="1"/>
  <c r="R837" i="1"/>
  <c r="U837" i="1" s="1"/>
  <c r="O837" i="1"/>
  <c r="M837" i="1"/>
  <c r="R836" i="1"/>
  <c r="U836" i="1" s="1"/>
  <c r="O836" i="1"/>
  <c r="M836" i="1"/>
  <c r="R835" i="1"/>
  <c r="U835" i="1" s="1"/>
  <c r="O835" i="1"/>
  <c r="M835" i="1"/>
  <c r="R834" i="1"/>
  <c r="U834" i="1" s="1"/>
  <c r="O834" i="1"/>
  <c r="M834" i="1"/>
  <c r="R833" i="1"/>
  <c r="U833" i="1" s="1"/>
  <c r="O833" i="1"/>
  <c r="M833" i="1"/>
  <c r="R832" i="1"/>
  <c r="U832" i="1" s="1"/>
  <c r="O832" i="1"/>
  <c r="M832" i="1"/>
  <c r="R831" i="1"/>
  <c r="U831" i="1" s="1"/>
  <c r="O831" i="1"/>
  <c r="M831" i="1"/>
  <c r="R830" i="1"/>
  <c r="U830" i="1" s="1"/>
  <c r="O830" i="1"/>
  <c r="M830" i="1"/>
  <c r="R829" i="1"/>
  <c r="U829" i="1" s="1"/>
  <c r="O829" i="1"/>
  <c r="M829" i="1"/>
  <c r="R828" i="1"/>
  <c r="U828" i="1" s="1"/>
  <c r="O828" i="1"/>
  <c r="M828" i="1"/>
  <c r="R827" i="1"/>
  <c r="U827" i="1" s="1"/>
  <c r="O827" i="1"/>
  <c r="M827" i="1"/>
  <c r="R826" i="1"/>
  <c r="U826" i="1" s="1"/>
  <c r="O826" i="1"/>
  <c r="M826" i="1"/>
  <c r="R825" i="1"/>
  <c r="U825" i="1" s="1"/>
  <c r="O825" i="1"/>
  <c r="M825" i="1"/>
  <c r="R824" i="1"/>
  <c r="U824" i="1" s="1"/>
  <c r="O824" i="1"/>
  <c r="M824" i="1"/>
  <c r="R823" i="1"/>
  <c r="U823" i="1" s="1"/>
  <c r="O823" i="1"/>
  <c r="M823" i="1"/>
  <c r="R822" i="1"/>
  <c r="U822" i="1" s="1"/>
  <c r="O822" i="1"/>
  <c r="M822" i="1"/>
  <c r="R821" i="1"/>
  <c r="U821" i="1" s="1"/>
  <c r="O821" i="1"/>
  <c r="M821" i="1"/>
  <c r="R820" i="1"/>
  <c r="U820" i="1" s="1"/>
  <c r="O820" i="1"/>
  <c r="M820" i="1"/>
  <c r="R819" i="1"/>
  <c r="U819" i="1" s="1"/>
  <c r="O819" i="1"/>
  <c r="M819" i="1"/>
  <c r="R818" i="1"/>
  <c r="U818" i="1" s="1"/>
  <c r="O818" i="1"/>
  <c r="M818" i="1"/>
  <c r="R817" i="1"/>
  <c r="U817" i="1" s="1"/>
  <c r="O817" i="1"/>
  <c r="M817" i="1"/>
  <c r="R816" i="1"/>
  <c r="U816" i="1" s="1"/>
  <c r="O816" i="1"/>
  <c r="M816" i="1"/>
  <c r="R815" i="1"/>
  <c r="U815" i="1" s="1"/>
  <c r="O815" i="1"/>
  <c r="M815" i="1"/>
  <c r="R814" i="1"/>
  <c r="U814" i="1" s="1"/>
  <c r="O814" i="1"/>
  <c r="M814" i="1"/>
  <c r="R813" i="1"/>
  <c r="U813" i="1" s="1"/>
  <c r="O813" i="1"/>
  <c r="M813" i="1"/>
  <c r="R812" i="1"/>
  <c r="U812" i="1" s="1"/>
  <c r="O812" i="1"/>
  <c r="M812" i="1"/>
  <c r="R811" i="1"/>
  <c r="U811" i="1" s="1"/>
  <c r="O811" i="1"/>
  <c r="M811" i="1"/>
  <c r="R810" i="1"/>
  <c r="U810" i="1" s="1"/>
  <c r="O810" i="1"/>
  <c r="M810" i="1"/>
  <c r="R809" i="1"/>
  <c r="U809" i="1" s="1"/>
  <c r="O809" i="1"/>
  <c r="M809" i="1"/>
  <c r="R808" i="1"/>
  <c r="U808" i="1" s="1"/>
  <c r="O808" i="1"/>
  <c r="M808" i="1"/>
  <c r="R807" i="1"/>
  <c r="U807" i="1" s="1"/>
  <c r="O807" i="1"/>
  <c r="M807" i="1"/>
  <c r="R806" i="1"/>
  <c r="U806" i="1" s="1"/>
  <c r="O806" i="1"/>
  <c r="M806" i="1"/>
  <c r="R805" i="1"/>
  <c r="U805" i="1" s="1"/>
  <c r="O805" i="1"/>
  <c r="M805" i="1"/>
  <c r="R804" i="1"/>
  <c r="U804" i="1" s="1"/>
  <c r="O804" i="1"/>
  <c r="M804" i="1"/>
  <c r="R803" i="1"/>
  <c r="U803" i="1" s="1"/>
  <c r="O803" i="1"/>
  <c r="M803" i="1"/>
  <c r="R802" i="1"/>
  <c r="U802" i="1" s="1"/>
  <c r="O802" i="1"/>
  <c r="M802" i="1"/>
  <c r="R801" i="1"/>
  <c r="U801" i="1" s="1"/>
  <c r="O801" i="1"/>
  <c r="M801" i="1"/>
  <c r="R800" i="1"/>
  <c r="U800" i="1" s="1"/>
  <c r="O800" i="1"/>
  <c r="M800" i="1"/>
  <c r="R799" i="1"/>
  <c r="U799" i="1" s="1"/>
  <c r="O799" i="1"/>
  <c r="M799" i="1"/>
  <c r="R798" i="1"/>
  <c r="U798" i="1" s="1"/>
  <c r="O798" i="1"/>
  <c r="M798" i="1"/>
  <c r="R797" i="1"/>
  <c r="U797" i="1" s="1"/>
  <c r="O797" i="1"/>
  <c r="M797" i="1"/>
  <c r="R796" i="1"/>
  <c r="U796" i="1" s="1"/>
  <c r="O796" i="1"/>
  <c r="M796" i="1"/>
  <c r="R795" i="1"/>
  <c r="U795" i="1" s="1"/>
  <c r="O795" i="1"/>
  <c r="M795" i="1"/>
  <c r="R794" i="1"/>
  <c r="U794" i="1" s="1"/>
  <c r="O794" i="1"/>
  <c r="M794" i="1"/>
  <c r="R793" i="1"/>
  <c r="U793" i="1" s="1"/>
  <c r="O793" i="1"/>
  <c r="M793" i="1"/>
  <c r="R792" i="1"/>
  <c r="U792" i="1" s="1"/>
  <c r="O792" i="1"/>
  <c r="M792" i="1"/>
  <c r="R791" i="1"/>
  <c r="U791" i="1" s="1"/>
  <c r="O791" i="1"/>
  <c r="M791" i="1"/>
  <c r="R790" i="1"/>
  <c r="U790" i="1" s="1"/>
  <c r="O790" i="1"/>
  <c r="M790" i="1"/>
  <c r="R789" i="1"/>
  <c r="U789" i="1" s="1"/>
  <c r="O789" i="1"/>
  <c r="M789" i="1"/>
  <c r="R788" i="1"/>
  <c r="U788" i="1" s="1"/>
  <c r="O788" i="1"/>
  <c r="M788" i="1"/>
  <c r="R787" i="1"/>
  <c r="U787" i="1" s="1"/>
  <c r="O787" i="1"/>
  <c r="M787" i="1"/>
  <c r="R786" i="1"/>
  <c r="U786" i="1" s="1"/>
  <c r="O786" i="1"/>
  <c r="M786" i="1"/>
  <c r="R785" i="1"/>
  <c r="U785" i="1" s="1"/>
  <c r="O785" i="1"/>
  <c r="M785" i="1"/>
  <c r="R784" i="1"/>
  <c r="U784" i="1" s="1"/>
  <c r="O784" i="1"/>
  <c r="M784" i="1"/>
  <c r="R783" i="1"/>
  <c r="U783" i="1" s="1"/>
  <c r="O783" i="1"/>
  <c r="M783" i="1"/>
  <c r="R782" i="1"/>
  <c r="U782" i="1" s="1"/>
  <c r="O782" i="1"/>
  <c r="M782" i="1"/>
  <c r="R781" i="1"/>
  <c r="U781" i="1" s="1"/>
  <c r="O781" i="1"/>
  <c r="M781" i="1"/>
  <c r="R780" i="1"/>
  <c r="U780" i="1" s="1"/>
  <c r="O780" i="1"/>
  <c r="M780" i="1"/>
  <c r="R779" i="1"/>
  <c r="U779" i="1" s="1"/>
  <c r="O779" i="1"/>
  <c r="M779" i="1"/>
  <c r="R778" i="1"/>
  <c r="U778" i="1" s="1"/>
  <c r="O778" i="1"/>
  <c r="M778" i="1"/>
  <c r="R777" i="1"/>
  <c r="U777" i="1" s="1"/>
  <c r="O777" i="1"/>
  <c r="M777" i="1"/>
  <c r="R776" i="1"/>
  <c r="U776" i="1" s="1"/>
  <c r="O776" i="1"/>
  <c r="M776" i="1"/>
  <c r="R775" i="1"/>
  <c r="U775" i="1" s="1"/>
  <c r="O775" i="1"/>
  <c r="M775" i="1"/>
  <c r="R774" i="1"/>
  <c r="U774" i="1" s="1"/>
  <c r="O774" i="1"/>
  <c r="M774" i="1"/>
  <c r="R773" i="1"/>
  <c r="U773" i="1" s="1"/>
  <c r="O773" i="1"/>
  <c r="M773" i="1"/>
  <c r="R772" i="1"/>
  <c r="U772" i="1" s="1"/>
  <c r="O772" i="1"/>
  <c r="M772" i="1"/>
  <c r="R771" i="1"/>
  <c r="U771" i="1" s="1"/>
  <c r="O771" i="1"/>
  <c r="M771" i="1"/>
  <c r="R770" i="1"/>
  <c r="U770" i="1" s="1"/>
  <c r="O770" i="1"/>
  <c r="M770" i="1"/>
  <c r="R769" i="1"/>
  <c r="U769" i="1" s="1"/>
  <c r="O769" i="1"/>
  <c r="M769" i="1"/>
  <c r="R768" i="1"/>
  <c r="U768" i="1" s="1"/>
  <c r="O768" i="1"/>
  <c r="M768" i="1"/>
  <c r="R767" i="1"/>
  <c r="U767" i="1" s="1"/>
  <c r="O767" i="1"/>
  <c r="M767" i="1"/>
  <c r="R766" i="1"/>
  <c r="U766" i="1" s="1"/>
  <c r="O766" i="1"/>
  <c r="M766" i="1"/>
  <c r="R765" i="1"/>
  <c r="U765" i="1" s="1"/>
  <c r="O765" i="1"/>
  <c r="M765" i="1"/>
  <c r="R764" i="1"/>
  <c r="U764" i="1" s="1"/>
  <c r="O764" i="1"/>
  <c r="M764" i="1"/>
  <c r="R763" i="1"/>
  <c r="U763" i="1" s="1"/>
  <c r="O763" i="1"/>
  <c r="M763" i="1"/>
  <c r="R762" i="1"/>
  <c r="U762" i="1" s="1"/>
  <c r="O762" i="1"/>
  <c r="M762" i="1"/>
  <c r="R761" i="1"/>
  <c r="U761" i="1" s="1"/>
  <c r="O761" i="1"/>
  <c r="M761" i="1"/>
  <c r="R760" i="1"/>
  <c r="U760" i="1" s="1"/>
  <c r="O760" i="1"/>
  <c r="M760" i="1"/>
  <c r="R759" i="1"/>
  <c r="U759" i="1" s="1"/>
  <c r="O759" i="1"/>
  <c r="M759" i="1"/>
  <c r="R758" i="1"/>
  <c r="U758" i="1" s="1"/>
  <c r="O758" i="1"/>
  <c r="M758" i="1"/>
  <c r="R757" i="1"/>
  <c r="U757" i="1" s="1"/>
  <c r="O757" i="1"/>
  <c r="M757" i="1"/>
  <c r="R756" i="1"/>
  <c r="U756" i="1" s="1"/>
  <c r="O756" i="1"/>
  <c r="M756" i="1"/>
  <c r="R755" i="1"/>
  <c r="U755" i="1" s="1"/>
  <c r="O755" i="1"/>
  <c r="M755" i="1"/>
  <c r="R754" i="1"/>
  <c r="U754" i="1" s="1"/>
  <c r="O754" i="1"/>
  <c r="M754" i="1"/>
  <c r="R753" i="1"/>
  <c r="U753" i="1" s="1"/>
  <c r="O753" i="1"/>
  <c r="M753" i="1"/>
  <c r="R752" i="1"/>
  <c r="U752" i="1" s="1"/>
  <c r="O752" i="1"/>
  <c r="M752" i="1"/>
  <c r="R751" i="1"/>
  <c r="U751" i="1" s="1"/>
  <c r="O751" i="1"/>
  <c r="M751" i="1"/>
  <c r="R750" i="1"/>
  <c r="U750" i="1" s="1"/>
  <c r="O750" i="1"/>
  <c r="M750" i="1"/>
  <c r="R749" i="1"/>
  <c r="U749" i="1" s="1"/>
  <c r="O749" i="1"/>
  <c r="M749" i="1"/>
  <c r="R748" i="1"/>
  <c r="U748" i="1" s="1"/>
  <c r="O748" i="1"/>
  <c r="M748" i="1"/>
  <c r="R747" i="1"/>
  <c r="U747" i="1" s="1"/>
  <c r="O747" i="1"/>
  <c r="M747" i="1"/>
  <c r="R746" i="1"/>
  <c r="U746" i="1" s="1"/>
  <c r="O746" i="1"/>
  <c r="M746" i="1"/>
  <c r="R745" i="1"/>
  <c r="U745" i="1" s="1"/>
  <c r="O745" i="1"/>
  <c r="M745" i="1"/>
  <c r="R744" i="1"/>
  <c r="U744" i="1" s="1"/>
  <c r="O744" i="1"/>
  <c r="M744" i="1"/>
  <c r="R743" i="1"/>
  <c r="U743" i="1" s="1"/>
  <c r="O743" i="1"/>
  <c r="M743" i="1"/>
  <c r="R742" i="1"/>
  <c r="U742" i="1" s="1"/>
  <c r="O742" i="1"/>
  <c r="M742" i="1"/>
  <c r="R741" i="1"/>
  <c r="U741" i="1" s="1"/>
  <c r="O741" i="1"/>
  <c r="M741" i="1"/>
  <c r="R740" i="1"/>
  <c r="U740" i="1" s="1"/>
  <c r="O740" i="1"/>
  <c r="M740" i="1"/>
  <c r="R739" i="1"/>
  <c r="U739" i="1" s="1"/>
  <c r="O739" i="1"/>
  <c r="M739" i="1"/>
  <c r="R738" i="1"/>
  <c r="U738" i="1" s="1"/>
  <c r="O738" i="1"/>
  <c r="M738" i="1"/>
  <c r="R737" i="1"/>
  <c r="U737" i="1" s="1"/>
  <c r="O737" i="1"/>
  <c r="M737" i="1"/>
  <c r="R736" i="1"/>
  <c r="U736" i="1" s="1"/>
  <c r="O736" i="1"/>
  <c r="M736" i="1"/>
  <c r="R735" i="1"/>
  <c r="U735" i="1" s="1"/>
  <c r="O735" i="1"/>
  <c r="M735" i="1"/>
  <c r="R734" i="1"/>
  <c r="U734" i="1" s="1"/>
  <c r="O734" i="1"/>
  <c r="M734" i="1"/>
  <c r="R733" i="1"/>
  <c r="U733" i="1" s="1"/>
  <c r="O733" i="1"/>
  <c r="M733" i="1"/>
  <c r="R732" i="1"/>
  <c r="U732" i="1" s="1"/>
  <c r="O732" i="1"/>
  <c r="M732" i="1"/>
  <c r="R731" i="1"/>
  <c r="U731" i="1" s="1"/>
  <c r="O731" i="1"/>
  <c r="M731" i="1"/>
  <c r="R730" i="1"/>
  <c r="U730" i="1" s="1"/>
  <c r="O730" i="1"/>
  <c r="M730" i="1"/>
  <c r="R729" i="1"/>
  <c r="U729" i="1" s="1"/>
  <c r="O729" i="1"/>
  <c r="M729" i="1"/>
  <c r="R728" i="1"/>
  <c r="U728" i="1" s="1"/>
  <c r="O728" i="1"/>
  <c r="M728" i="1"/>
  <c r="R727" i="1"/>
  <c r="U727" i="1" s="1"/>
  <c r="O727" i="1"/>
  <c r="M727" i="1"/>
  <c r="R726" i="1"/>
  <c r="U726" i="1" s="1"/>
  <c r="O726" i="1"/>
  <c r="M726" i="1"/>
  <c r="R725" i="1"/>
  <c r="U725" i="1" s="1"/>
  <c r="O725" i="1"/>
  <c r="M725" i="1"/>
  <c r="R724" i="1"/>
  <c r="U724" i="1" s="1"/>
  <c r="O724" i="1"/>
  <c r="M724" i="1"/>
  <c r="R723" i="1"/>
  <c r="U723" i="1" s="1"/>
  <c r="O723" i="1"/>
  <c r="M723" i="1"/>
  <c r="R722" i="1"/>
  <c r="U722" i="1" s="1"/>
  <c r="O722" i="1"/>
  <c r="M722" i="1"/>
  <c r="R721" i="1"/>
  <c r="U721" i="1" s="1"/>
  <c r="O721" i="1"/>
  <c r="M721" i="1"/>
  <c r="R720" i="1"/>
  <c r="U720" i="1" s="1"/>
  <c r="O720" i="1"/>
  <c r="M720" i="1"/>
  <c r="R719" i="1"/>
  <c r="U719" i="1" s="1"/>
  <c r="O719" i="1"/>
  <c r="M719" i="1"/>
  <c r="R718" i="1"/>
  <c r="U718" i="1" s="1"/>
  <c r="O718" i="1"/>
  <c r="M718" i="1"/>
  <c r="R717" i="1"/>
  <c r="U717" i="1" s="1"/>
  <c r="O717" i="1"/>
  <c r="M717" i="1"/>
  <c r="R716" i="1"/>
  <c r="U716" i="1" s="1"/>
  <c r="O716" i="1"/>
  <c r="M716" i="1"/>
  <c r="R715" i="1"/>
  <c r="U715" i="1" s="1"/>
  <c r="O715" i="1"/>
  <c r="M715" i="1"/>
  <c r="R714" i="1"/>
  <c r="U714" i="1" s="1"/>
  <c r="O714" i="1"/>
  <c r="M714" i="1"/>
  <c r="R713" i="1"/>
  <c r="U713" i="1" s="1"/>
  <c r="O713" i="1"/>
  <c r="M713" i="1"/>
  <c r="R712" i="1"/>
  <c r="U712" i="1" s="1"/>
  <c r="O712" i="1"/>
  <c r="M712" i="1"/>
  <c r="R711" i="1"/>
  <c r="U711" i="1" s="1"/>
  <c r="O711" i="1"/>
  <c r="M711" i="1"/>
  <c r="R710" i="1"/>
  <c r="U710" i="1" s="1"/>
  <c r="O710" i="1"/>
  <c r="M710" i="1"/>
  <c r="R709" i="1"/>
  <c r="U709" i="1" s="1"/>
  <c r="O709" i="1"/>
  <c r="M709" i="1"/>
  <c r="R708" i="1"/>
  <c r="U708" i="1" s="1"/>
  <c r="O708" i="1"/>
  <c r="M708" i="1"/>
  <c r="R707" i="1"/>
  <c r="U707" i="1" s="1"/>
  <c r="O707" i="1"/>
  <c r="M707" i="1"/>
  <c r="R706" i="1"/>
  <c r="U706" i="1" s="1"/>
  <c r="O706" i="1"/>
  <c r="M706" i="1"/>
  <c r="R705" i="1"/>
  <c r="U705" i="1" s="1"/>
  <c r="O705" i="1"/>
  <c r="M705" i="1"/>
  <c r="R704" i="1"/>
  <c r="U704" i="1" s="1"/>
  <c r="O704" i="1"/>
  <c r="M704" i="1"/>
  <c r="R703" i="1"/>
  <c r="U703" i="1" s="1"/>
  <c r="O703" i="1"/>
  <c r="M703" i="1"/>
  <c r="R702" i="1"/>
  <c r="U702" i="1" s="1"/>
  <c r="O702" i="1"/>
  <c r="M702" i="1"/>
  <c r="R701" i="1"/>
  <c r="U701" i="1" s="1"/>
  <c r="O701" i="1"/>
  <c r="M701" i="1"/>
  <c r="R700" i="1"/>
  <c r="U700" i="1" s="1"/>
  <c r="O700" i="1"/>
  <c r="M700" i="1"/>
  <c r="R699" i="1"/>
  <c r="U699" i="1" s="1"/>
  <c r="O699" i="1"/>
  <c r="M699" i="1"/>
  <c r="R698" i="1"/>
  <c r="U698" i="1" s="1"/>
  <c r="O698" i="1"/>
  <c r="M698" i="1"/>
  <c r="R697" i="1"/>
  <c r="U697" i="1" s="1"/>
  <c r="O697" i="1"/>
  <c r="M697" i="1"/>
  <c r="R696" i="1"/>
  <c r="U696" i="1" s="1"/>
  <c r="O696" i="1"/>
  <c r="M696" i="1"/>
  <c r="R695" i="1"/>
  <c r="U695" i="1" s="1"/>
  <c r="O695" i="1"/>
  <c r="M695" i="1"/>
  <c r="R694" i="1"/>
  <c r="U694" i="1" s="1"/>
  <c r="O694" i="1"/>
  <c r="M694" i="1"/>
  <c r="R693" i="1"/>
  <c r="U693" i="1" s="1"/>
  <c r="O693" i="1"/>
  <c r="M693" i="1"/>
  <c r="R692" i="1"/>
  <c r="U692" i="1" s="1"/>
  <c r="O692" i="1"/>
  <c r="M692" i="1"/>
  <c r="R691" i="1"/>
  <c r="U691" i="1" s="1"/>
  <c r="O691" i="1"/>
  <c r="M691" i="1"/>
  <c r="R690" i="1"/>
  <c r="U690" i="1" s="1"/>
  <c r="O690" i="1"/>
  <c r="M690" i="1"/>
  <c r="R689" i="1"/>
  <c r="U689" i="1" s="1"/>
  <c r="O689" i="1"/>
  <c r="M689" i="1"/>
  <c r="R688" i="1"/>
  <c r="U688" i="1" s="1"/>
  <c r="O688" i="1"/>
  <c r="M688" i="1"/>
  <c r="R687" i="1"/>
  <c r="U687" i="1" s="1"/>
  <c r="O687" i="1"/>
  <c r="M687" i="1"/>
  <c r="R686" i="1"/>
  <c r="U686" i="1" s="1"/>
  <c r="O686" i="1"/>
  <c r="M686" i="1"/>
  <c r="R685" i="1"/>
  <c r="U685" i="1" s="1"/>
  <c r="O685" i="1"/>
  <c r="M685" i="1"/>
  <c r="R684" i="1"/>
  <c r="U684" i="1" s="1"/>
  <c r="O684" i="1"/>
  <c r="M684" i="1"/>
  <c r="R683" i="1"/>
  <c r="U683" i="1" s="1"/>
  <c r="O683" i="1"/>
  <c r="M683" i="1"/>
  <c r="R682" i="1"/>
  <c r="U682" i="1" s="1"/>
  <c r="O682" i="1"/>
  <c r="M682" i="1"/>
  <c r="R681" i="1"/>
  <c r="U681" i="1" s="1"/>
  <c r="O681" i="1"/>
  <c r="M681" i="1"/>
  <c r="R680" i="1"/>
  <c r="U680" i="1" s="1"/>
  <c r="O680" i="1"/>
  <c r="M680" i="1"/>
  <c r="R679" i="1"/>
  <c r="U679" i="1" s="1"/>
  <c r="O679" i="1"/>
  <c r="M679" i="1"/>
  <c r="R678" i="1"/>
  <c r="U678" i="1" s="1"/>
  <c r="O678" i="1"/>
  <c r="M678" i="1"/>
  <c r="R677" i="1"/>
  <c r="U677" i="1" s="1"/>
  <c r="O677" i="1"/>
  <c r="M677" i="1"/>
  <c r="R676" i="1"/>
  <c r="U676" i="1" s="1"/>
  <c r="O676" i="1"/>
  <c r="M676" i="1"/>
  <c r="R675" i="1"/>
  <c r="U675" i="1" s="1"/>
  <c r="O675" i="1"/>
  <c r="M675" i="1"/>
  <c r="R674" i="1"/>
  <c r="U674" i="1" s="1"/>
  <c r="O674" i="1"/>
  <c r="M674" i="1"/>
  <c r="R673" i="1"/>
  <c r="U673" i="1" s="1"/>
  <c r="O673" i="1"/>
  <c r="M673" i="1"/>
  <c r="R672" i="1"/>
  <c r="U672" i="1" s="1"/>
  <c r="O672" i="1"/>
  <c r="M672" i="1"/>
  <c r="R671" i="1"/>
  <c r="U671" i="1" s="1"/>
  <c r="O671" i="1"/>
  <c r="M671" i="1"/>
  <c r="R670" i="1"/>
  <c r="U670" i="1" s="1"/>
  <c r="O670" i="1"/>
  <c r="M670" i="1"/>
  <c r="R669" i="1"/>
  <c r="U669" i="1" s="1"/>
  <c r="O669" i="1"/>
  <c r="M669" i="1"/>
  <c r="R668" i="1"/>
  <c r="U668" i="1" s="1"/>
  <c r="O668" i="1"/>
  <c r="M668" i="1"/>
  <c r="R667" i="1"/>
  <c r="U667" i="1" s="1"/>
  <c r="O667" i="1"/>
  <c r="M667" i="1"/>
  <c r="R666" i="1"/>
  <c r="U666" i="1" s="1"/>
  <c r="O666" i="1"/>
  <c r="M666" i="1"/>
  <c r="R665" i="1"/>
  <c r="U665" i="1" s="1"/>
  <c r="O665" i="1"/>
  <c r="M665" i="1"/>
  <c r="R664" i="1"/>
  <c r="U664" i="1" s="1"/>
  <c r="O664" i="1"/>
  <c r="M664" i="1"/>
  <c r="R663" i="1"/>
  <c r="U663" i="1" s="1"/>
  <c r="O663" i="1"/>
  <c r="M663" i="1"/>
  <c r="R662" i="1"/>
  <c r="U662" i="1" s="1"/>
  <c r="O662" i="1"/>
  <c r="M662" i="1"/>
  <c r="R661" i="1"/>
  <c r="U661" i="1" s="1"/>
  <c r="O661" i="1"/>
  <c r="M661" i="1"/>
  <c r="R660" i="1"/>
  <c r="U660" i="1" s="1"/>
  <c r="O660" i="1"/>
  <c r="M660" i="1"/>
  <c r="R659" i="1"/>
  <c r="U659" i="1" s="1"/>
  <c r="O659" i="1"/>
  <c r="M659" i="1"/>
  <c r="R658" i="1"/>
  <c r="U658" i="1" s="1"/>
  <c r="O658" i="1"/>
  <c r="M658" i="1"/>
  <c r="R657" i="1"/>
  <c r="U657" i="1" s="1"/>
  <c r="O657" i="1"/>
  <c r="M657" i="1"/>
  <c r="R656" i="1"/>
  <c r="U656" i="1" s="1"/>
  <c r="O656" i="1"/>
  <c r="M656" i="1"/>
  <c r="R655" i="1"/>
  <c r="U655" i="1" s="1"/>
  <c r="O655" i="1"/>
  <c r="M655" i="1"/>
  <c r="R654" i="1"/>
  <c r="U654" i="1" s="1"/>
  <c r="O654" i="1"/>
  <c r="M654" i="1"/>
  <c r="R653" i="1"/>
  <c r="U653" i="1" s="1"/>
  <c r="O653" i="1"/>
  <c r="M653" i="1"/>
  <c r="R652" i="1"/>
  <c r="U652" i="1" s="1"/>
  <c r="O652" i="1"/>
  <c r="M652" i="1"/>
  <c r="R651" i="1"/>
  <c r="U651" i="1" s="1"/>
  <c r="O651" i="1"/>
  <c r="M651" i="1"/>
  <c r="R650" i="1"/>
  <c r="U650" i="1" s="1"/>
  <c r="O650" i="1"/>
  <c r="M650" i="1"/>
  <c r="R649" i="1"/>
  <c r="U649" i="1" s="1"/>
  <c r="O649" i="1"/>
  <c r="M649" i="1"/>
  <c r="R648" i="1"/>
  <c r="U648" i="1" s="1"/>
  <c r="O648" i="1"/>
  <c r="M648" i="1"/>
  <c r="R647" i="1"/>
  <c r="U647" i="1" s="1"/>
  <c r="O647" i="1"/>
  <c r="M647" i="1"/>
  <c r="R646" i="1"/>
  <c r="U646" i="1" s="1"/>
  <c r="O646" i="1"/>
  <c r="M646" i="1"/>
  <c r="R645" i="1"/>
  <c r="U645" i="1" s="1"/>
  <c r="O645" i="1"/>
  <c r="M645" i="1"/>
  <c r="R644" i="1"/>
  <c r="U644" i="1" s="1"/>
  <c r="O644" i="1"/>
  <c r="M644" i="1"/>
  <c r="R643" i="1"/>
  <c r="U643" i="1" s="1"/>
  <c r="O643" i="1"/>
  <c r="M643" i="1"/>
  <c r="R642" i="1"/>
  <c r="U642" i="1" s="1"/>
  <c r="O642" i="1"/>
  <c r="M642" i="1"/>
  <c r="R641" i="1"/>
  <c r="U641" i="1" s="1"/>
  <c r="O641" i="1"/>
  <c r="M641" i="1"/>
  <c r="R640" i="1"/>
  <c r="U640" i="1" s="1"/>
  <c r="O640" i="1"/>
  <c r="M640" i="1"/>
  <c r="R639" i="1"/>
  <c r="U639" i="1" s="1"/>
  <c r="O639" i="1"/>
  <c r="M639" i="1"/>
  <c r="R638" i="1"/>
  <c r="U638" i="1" s="1"/>
  <c r="O638" i="1"/>
  <c r="M638" i="1"/>
  <c r="R637" i="1"/>
  <c r="U637" i="1" s="1"/>
  <c r="O637" i="1"/>
  <c r="M637" i="1"/>
  <c r="R636" i="1"/>
  <c r="U636" i="1" s="1"/>
  <c r="O636" i="1"/>
  <c r="M636" i="1"/>
  <c r="R635" i="1"/>
  <c r="U635" i="1" s="1"/>
  <c r="O635" i="1"/>
  <c r="M635" i="1"/>
  <c r="R634" i="1"/>
  <c r="U634" i="1" s="1"/>
  <c r="O634" i="1"/>
  <c r="M634" i="1"/>
  <c r="R633" i="1"/>
  <c r="U633" i="1" s="1"/>
  <c r="O633" i="1"/>
  <c r="M633" i="1"/>
  <c r="R632" i="1"/>
  <c r="U632" i="1" s="1"/>
  <c r="O632" i="1"/>
  <c r="M632" i="1"/>
  <c r="R631" i="1"/>
  <c r="U631" i="1" s="1"/>
  <c r="O631" i="1"/>
  <c r="M631" i="1"/>
  <c r="R630" i="1"/>
  <c r="U630" i="1" s="1"/>
  <c r="O630" i="1"/>
  <c r="M630" i="1"/>
  <c r="R629" i="1"/>
  <c r="U629" i="1" s="1"/>
  <c r="O629" i="1"/>
  <c r="M629" i="1"/>
  <c r="R628" i="1"/>
  <c r="U628" i="1" s="1"/>
  <c r="O628" i="1"/>
  <c r="M628" i="1"/>
  <c r="R627" i="1"/>
  <c r="U627" i="1" s="1"/>
  <c r="O627" i="1"/>
  <c r="M627" i="1"/>
  <c r="R626" i="1"/>
  <c r="U626" i="1" s="1"/>
  <c r="O626" i="1"/>
  <c r="M626" i="1"/>
  <c r="R625" i="1"/>
  <c r="U625" i="1" s="1"/>
  <c r="O625" i="1"/>
  <c r="M625" i="1"/>
  <c r="R624" i="1"/>
  <c r="U624" i="1" s="1"/>
  <c r="O624" i="1"/>
  <c r="M624" i="1"/>
  <c r="R623" i="1"/>
  <c r="U623" i="1" s="1"/>
  <c r="O623" i="1"/>
  <c r="M623" i="1"/>
  <c r="R622" i="1"/>
  <c r="U622" i="1" s="1"/>
  <c r="O622" i="1"/>
  <c r="M622" i="1"/>
  <c r="R621" i="1"/>
  <c r="U621" i="1" s="1"/>
  <c r="O621" i="1"/>
  <c r="M621" i="1"/>
  <c r="R620" i="1"/>
  <c r="U620" i="1" s="1"/>
  <c r="O620" i="1"/>
  <c r="M620" i="1"/>
  <c r="R619" i="1"/>
  <c r="U619" i="1" s="1"/>
  <c r="O619" i="1"/>
  <c r="M619" i="1"/>
  <c r="R618" i="1"/>
  <c r="U618" i="1" s="1"/>
  <c r="O618" i="1"/>
  <c r="M618" i="1"/>
  <c r="R617" i="1"/>
  <c r="U617" i="1" s="1"/>
  <c r="O617" i="1"/>
  <c r="M617" i="1"/>
  <c r="R616" i="1"/>
  <c r="U616" i="1" s="1"/>
  <c r="O616" i="1"/>
  <c r="M616" i="1"/>
  <c r="R615" i="1"/>
  <c r="U615" i="1" s="1"/>
  <c r="O615" i="1"/>
  <c r="M615" i="1"/>
  <c r="R614" i="1"/>
  <c r="U614" i="1" s="1"/>
  <c r="O614" i="1"/>
  <c r="M614" i="1"/>
  <c r="R613" i="1"/>
  <c r="U613" i="1" s="1"/>
  <c r="O613" i="1"/>
  <c r="M613" i="1"/>
  <c r="R612" i="1"/>
  <c r="U612" i="1" s="1"/>
  <c r="O612" i="1"/>
  <c r="M612" i="1"/>
  <c r="R611" i="1"/>
  <c r="U611" i="1" s="1"/>
  <c r="O611" i="1"/>
  <c r="M611" i="1"/>
  <c r="R610" i="1"/>
  <c r="U610" i="1" s="1"/>
  <c r="O610" i="1"/>
  <c r="M610" i="1"/>
  <c r="R609" i="1"/>
  <c r="U609" i="1" s="1"/>
  <c r="O609" i="1"/>
  <c r="M609" i="1"/>
  <c r="R608" i="1"/>
  <c r="U608" i="1" s="1"/>
  <c r="O608" i="1"/>
  <c r="M608" i="1"/>
  <c r="R607" i="1"/>
  <c r="U607" i="1" s="1"/>
  <c r="O607" i="1"/>
  <c r="M607" i="1"/>
  <c r="R606" i="1"/>
  <c r="U606" i="1" s="1"/>
  <c r="O606" i="1"/>
  <c r="M606" i="1"/>
  <c r="R605" i="1"/>
  <c r="U605" i="1" s="1"/>
  <c r="O605" i="1"/>
  <c r="M605" i="1"/>
  <c r="R604" i="1"/>
  <c r="U604" i="1" s="1"/>
  <c r="O604" i="1"/>
  <c r="M604" i="1"/>
  <c r="R603" i="1"/>
  <c r="U603" i="1" s="1"/>
  <c r="O603" i="1"/>
  <c r="M603" i="1"/>
  <c r="R602" i="1"/>
  <c r="U602" i="1" s="1"/>
  <c r="O602" i="1"/>
  <c r="M602" i="1"/>
  <c r="R601" i="1"/>
  <c r="U601" i="1" s="1"/>
  <c r="O601" i="1"/>
  <c r="M601" i="1"/>
  <c r="R600" i="1"/>
  <c r="U600" i="1" s="1"/>
  <c r="O600" i="1"/>
  <c r="M600" i="1"/>
  <c r="R599" i="1"/>
  <c r="U599" i="1" s="1"/>
  <c r="O599" i="1"/>
  <c r="M599" i="1"/>
  <c r="R598" i="1"/>
  <c r="U598" i="1" s="1"/>
  <c r="O598" i="1"/>
  <c r="M598" i="1"/>
  <c r="R597" i="1"/>
  <c r="U597" i="1" s="1"/>
  <c r="O597" i="1"/>
  <c r="M597" i="1"/>
  <c r="R596" i="1"/>
  <c r="U596" i="1" s="1"/>
  <c r="O596" i="1"/>
  <c r="M596" i="1"/>
  <c r="R595" i="1"/>
  <c r="U595" i="1" s="1"/>
  <c r="O595" i="1"/>
  <c r="M595" i="1"/>
  <c r="R594" i="1"/>
  <c r="U594" i="1" s="1"/>
  <c r="O594" i="1"/>
  <c r="M594" i="1"/>
  <c r="R593" i="1"/>
  <c r="U593" i="1" s="1"/>
  <c r="O593" i="1"/>
  <c r="M593" i="1"/>
  <c r="R592" i="1"/>
  <c r="U592" i="1" s="1"/>
  <c r="O592" i="1"/>
  <c r="M592" i="1"/>
  <c r="R591" i="1"/>
  <c r="U591" i="1" s="1"/>
  <c r="O591" i="1"/>
  <c r="M591" i="1"/>
  <c r="R590" i="1"/>
  <c r="U590" i="1" s="1"/>
  <c r="O590" i="1"/>
  <c r="M590" i="1"/>
  <c r="R589" i="1"/>
  <c r="U589" i="1" s="1"/>
  <c r="O589" i="1"/>
  <c r="M589" i="1"/>
  <c r="R588" i="1"/>
  <c r="U588" i="1" s="1"/>
  <c r="O588" i="1"/>
  <c r="M588" i="1"/>
  <c r="R587" i="1"/>
  <c r="U587" i="1" s="1"/>
  <c r="O587" i="1"/>
  <c r="M587" i="1"/>
  <c r="R586" i="1"/>
  <c r="U586" i="1" s="1"/>
  <c r="O586" i="1"/>
  <c r="M586" i="1"/>
  <c r="R585" i="1"/>
  <c r="U585" i="1" s="1"/>
  <c r="O585" i="1"/>
  <c r="M585" i="1"/>
  <c r="R584" i="1"/>
  <c r="U584" i="1" s="1"/>
  <c r="O584" i="1"/>
  <c r="M584" i="1"/>
  <c r="R583" i="1"/>
  <c r="U583" i="1" s="1"/>
  <c r="O583" i="1"/>
  <c r="M583" i="1"/>
  <c r="R582" i="1"/>
  <c r="U582" i="1" s="1"/>
  <c r="O582" i="1"/>
  <c r="M582" i="1"/>
  <c r="R581" i="1"/>
  <c r="U581" i="1" s="1"/>
  <c r="O581" i="1"/>
  <c r="M581" i="1"/>
  <c r="R580" i="1"/>
  <c r="U580" i="1" s="1"/>
  <c r="O580" i="1"/>
  <c r="M580" i="1"/>
  <c r="R579" i="1"/>
  <c r="U579" i="1" s="1"/>
  <c r="O579" i="1"/>
  <c r="M579" i="1"/>
  <c r="R578" i="1"/>
  <c r="U578" i="1" s="1"/>
  <c r="O578" i="1"/>
  <c r="M578" i="1"/>
  <c r="R577" i="1"/>
  <c r="U577" i="1" s="1"/>
  <c r="O577" i="1"/>
  <c r="M577" i="1"/>
  <c r="R576" i="1"/>
  <c r="U576" i="1" s="1"/>
  <c r="O576" i="1"/>
  <c r="M576" i="1"/>
  <c r="R575" i="1"/>
  <c r="U575" i="1" s="1"/>
  <c r="O575" i="1"/>
  <c r="M575" i="1"/>
  <c r="R574" i="1"/>
  <c r="U574" i="1" s="1"/>
  <c r="O574" i="1"/>
  <c r="M574" i="1"/>
  <c r="R573" i="1"/>
  <c r="U573" i="1" s="1"/>
  <c r="O573" i="1"/>
  <c r="M573" i="1"/>
  <c r="R572" i="1"/>
  <c r="U572" i="1" s="1"/>
  <c r="O572" i="1"/>
  <c r="M572" i="1"/>
  <c r="R571" i="1"/>
  <c r="U571" i="1" s="1"/>
  <c r="O571" i="1"/>
  <c r="M571" i="1"/>
  <c r="R570" i="1"/>
  <c r="U570" i="1" s="1"/>
  <c r="O570" i="1"/>
  <c r="M570" i="1"/>
  <c r="R569" i="1"/>
  <c r="U569" i="1" s="1"/>
  <c r="O569" i="1"/>
  <c r="M569" i="1"/>
  <c r="R568" i="1"/>
  <c r="U568" i="1" s="1"/>
  <c r="O568" i="1"/>
  <c r="M568" i="1"/>
  <c r="R567" i="1"/>
  <c r="U567" i="1" s="1"/>
  <c r="O567" i="1"/>
  <c r="M567" i="1"/>
  <c r="R566" i="1"/>
  <c r="U566" i="1" s="1"/>
  <c r="O566" i="1"/>
  <c r="M566" i="1"/>
  <c r="R565" i="1"/>
  <c r="U565" i="1" s="1"/>
  <c r="O565" i="1"/>
  <c r="M565" i="1"/>
  <c r="R564" i="1"/>
  <c r="U564" i="1" s="1"/>
  <c r="O564" i="1"/>
  <c r="M564" i="1"/>
  <c r="R563" i="1"/>
  <c r="U563" i="1" s="1"/>
  <c r="O563" i="1"/>
  <c r="M563" i="1"/>
  <c r="R562" i="1"/>
  <c r="U562" i="1" s="1"/>
  <c r="O562" i="1"/>
  <c r="M562" i="1"/>
  <c r="R561" i="1"/>
  <c r="U561" i="1" s="1"/>
  <c r="O561" i="1"/>
  <c r="M561" i="1"/>
  <c r="R560" i="1"/>
  <c r="U560" i="1" s="1"/>
  <c r="O560" i="1"/>
  <c r="M560" i="1"/>
  <c r="R559" i="1"/>
  <c r="U559" i="1" s="1"/>
  <c r="O559" i="1"/>
  <c r="M559" i="1"/>
  <c r="R558" i="1"/>
  <c r="U558" i="1" s="1"/>
  <c r="O558" i="1"/>
  <c r="M558" i="1"/>
  <c r="R557" i="1"/>
  <c r="U557" i="1" s="1"/>
  <c r="O557" i="1"/>
  <c r="M557" i="1"/>
  <c r="R556" i="1"/>
  <c r="U556" i="1" s="1"/>
  <c r="O556" i="1"/>
  <c r="M556" i="1"/>
  <c r="R555" i="1"/>
  <c r="U555" i="1" s="1"/>
  <c r="O555" i="1"/>
  <c r="M555" i="1"/>
  <c r="R554" i="1"/>
  <c r="U554" i="1" s="1"/>
  <c r="O554" i="1"/>
  <c r="M554" i="1"/>
  <c r="R553" i="1"/>
  <c r="U553" i="1" s="1"/>
  <c r="O553" i="1"/>
  <c r="M553" i="1"/>
  <c r="R552" i="1"/>
  <c r="U552" i="1" s="1"/>
  <c r="O552" i="1"/>
  <c r="M552" i="1"/>
  <c r="R551" i="1"/>
  <c r="U551" i="1" s="1"/>
  <c r="O551" i="1"/>
  <c r="M551" i="1"/>
  <c r="R550" i="1"/>
  <c r="U550" i="1" s="1"/>
  <c r="O550" i="1"/>
  <c r="M550" i="1"/>
  <c r="R549" i="1"/>
  <c r="U549" i="1" s="1"/>
  <c r="O549" i="1"/>
  <c r="M549" i="1"/>
  <c r="R548" i="1"/>
  <c r="U548" i="1" s="1"/>
  <c r="O548" i="1"/>
  <c r="M548" i="1"/>
  <c r="R547" i="1"/>
  <c r="U547" i="1" s="1"/>
  <c r="O547" i="1"/>
  <c r="M547" i="1"/>
  <c r="R546" i="1"/>
  <c r="U546" i="1" s="1"/>
  <c r="O546" i="1"/>
  <c r="M546" i="1"/>
  <c r="R545" i="1"/>
  <c r="U545" i="1" s="1"/>
  <c r="O545" i="1"/>
  <c r="M545" i="1"/>
  <c r="R544" i="1"/>
  <c r="U544" i="1" s="1"/>
  <c r="O544" i="1"/>
  <c r="M544" i="1"/>
  <c r="R543" i="1"/>
  <c r="U543" i="1" s="1"/>
  <c r="O543" i="1"/>
  <c r="M543" i="1"/>
  <c r="R542" i="1"/>
  <c r="U542" i="1" s="1"/>
  <c r="O542" i="1"/>
  <c r="M542" i="1"/>
  <c r="R541" i="1"/>
  <c r="U541" i="1" s="1"/>
  <c r="O541" i="1"/>
  <c r="M541" i="1"/>
  <c r="R540" i="1"/>
  <c r="U540" i="1" s="1"/>
  <c r="O540" i="1"/>
  <c r="M540" i="1"/>
  <c r="R539" i="1"/>
  <c r="U539" i="1" s="1"/>
  <c r="O539" i="1"/>
  <c r="M539" i="1"/>
  <c r="R538" i="1"/>
  <c r="U538" i="1" s="1"/>
  <c r="O538" i="1"/>
  <c r="M538" i="1"/>
  <c r="R537" i="1"/>
  <c r="U537" i="1" s="1"/>
  <c r="O537" i="1"/>
  <c r="M537" i="1"/>
  <c r="R536" i="1"/>
  <c r="U536" i="1" s="1"/>
  <c r="O536" i="1"/>
  <c r="M536" i="1"/>
  <c r="R535" i="1"/>
  <c r="U535" i="1" s="1"/>
  <c r="O535" i="1"/>
  <c r="M535" i="1"/>
  <c r="R534" i="1"/>
  <c r="U534" i="1" s="1"/>
  <c r="O534" i="1"/>
  <c r="M534" i="1"/>
  <c r="R533" i="1"/>
  <c r="U533" i="1" s="1"/>
  <c r="O533" i="1"/>
  <c r="M533" i="1"/>
  <c r="R532" i="1"/>
  <c r="U532" i="1" s="1"/>
  <c r="O532" i="1"/>
  <c r="M532" i="1"/>
  <c r="R531" i="1"/>
  <c r="U531" i="1" s="1"/>
  <c r="O531" i="1"/>
  <c r="M531" i="1"/>
  <c r="R530" i="1"/>
  <c r="U530" i="1" s="1"/>
  <c r="O530" i="1"/>
  <c r="M530" i="1"/>
  <c r="R529" i="1"/>
  <c r="U529" i="1" s="1"/>
  <c r="O529" i="1"/>
  <c r="M529" i="1"/>
  <c r="R528" i="1"/>
  <c r="U528" i="1" s="1"/>
  <c r="O528" i="1"/>
  <c r="M528" i="1"/>
  <c r="R527" i="1"/>
  <c r="U527" i="1" s="1"/>
  <c r="O527" i="1"/>
  <c r="M527" i="1"/>
  <c r="R526" i="1"/>
  <c r="U526" i="1" s="1"/>
  <c r="O526" i="1"/>
  <c r="M526" i="1"/>
  <c r="R525" i="1"/>
  <c r="U525" i="1" s="1"/>
  <c r="O525" i="1"/>
  <c r="M525" i="1"/>
  <c r="R524" i="1"/>
  <c r="U524" i="1" s="1"/>
  <c r="O524" i="1"/>
  <c r="M524" i="1"/>
  <c r="R523" i="1"/>
  <c r="U523" i="1" s="1"/>
  <c r="O523" i="1"/>
  <c r="M523" i="1"/>
  <c r="R522" i="1"/>
  <c r="U522" i="1" s="1"/>
  <c r="O522" i="1"/>
  <c r="M522" i="1"/>
  <c r="R521" i="1"/>
  <c r="U521" i="1" s="1"/>
  <c r="O521" i="1"/>
  <c r="M521" i="1"/>
  <c r="R520" i="1"/>
  <c r="U520" i="1" s="1"/>
  <c r="O520" i="1"/>
  <c r="M520" i="1"/>
  <c r="R519" i="1"/>
  <c r="U519" i="1" s="1"/>
  <c r="O519" i="1"/>
  <c r="M519" i="1"/>
  <c r="R518" i="1"/>
  <c r="U518" i="1" s="1"/>
  <c r="O518" i="1"/>
  <c r="M518" i="1"/>
  <c r="R517" i="1"/>
  <c r="U517" i="1" s="1"/>
  <c r="O517" i="1"/>
  <c r="M517" i="1"/>
  <c r="R516" i="1"/>
  <c r="U516" i="1" s="1"/>
  <c r="O516" i="1"/>
  <c r="M516" i="1"/>
  <c r="R515" i="1"/>
  <c r="U515" i="1" s="1"/>
  <c r="O515" i="1"/>
  <c r="M515" i="1"/>
  <c r="R514" i="1"/>
  <c r="U514" i="1" s="1"/>
  <c r="O514" i="1"/>
  <c r="M514" i="1"/>
  <c r="R513" i="1"/>
  <c r="U513" i="1" s="1"/>
  <c r="O513" i="1"/>
  <c r="M513" i="1"/>
  <c r="R512" i="1"/>
  <c r="U512" i="1" s="1"/>
  <c r="O512" i="1"/>
  <c r="M512" i="1"/>
  <c r="R511" i="1"/>
  <c r="U511" i="1" s="1"/>
  <c r="O511" i="1"/>
  <c r="M511" i="1"/>
  <c r="R510" i="1"/>
  <c r="U510" i="1" s="1"/>
  <c r="O510" i="1"/>
  <c r="M510" i="1"/>
  <c r="R509" i="1"/>
  <c r="U509" i="1" s="1"/>
  <c r="O509" i="1"/>
  <c r="M509" i="1"/>
  <c r="R508" i="1"/>
  <c r="U508" i="1" s="1"/>
  <c r="O508" i="1"/>
  <c r="M508" i="1"/>
  <c r="R507" i="1"/>
  <c r="U507" i="1" s="1"/>
  <c r="O507" i="1"/>
  <c r="M507" i="1"/>
  <c r="R506" i="1"/>
  <c r="U506" i="1" s="1"/>
  <c r="O506" i="1"/>
  <c r="M506" i="1"/>
  <c r="R505" i="1"/>
  <c r="U505" i="1" s="1"/>
  <c r="O505" i="1"/>
  <c r="M505" i="1"/>
  <c r="R504" i="1"/>
  <c r="U504" i="1" s="1"/>
  <c r="O504" i="1"/>
  <c r="M504" i="1"/>
  <c r="R503" i="1"/>
  <c r="U503" i="1" s="1"/>
  <c r="O503" i="1"/>
  <c r="M503" i="1"/>
  <c r="R502" i="1"/>
  <c r="U502" i="1" s="1"/>
  <c r="O502" i="1"/>
  <c r="M502" i="1"/>
  <c r="R501" i="1"/>
  <c r="U501" i="1" s="1"/>
  <c r="O501" i="1"/>
  <c r="M501" i="1"/>
  <c r="R500" i="1"/>
  <c r="U500" i="1" s="1"/>
  <c r="O500" i="1"/>
  <c r="M500" i="1"/>
  <c r="R499" i="1"/>
  <c r="U499" i="1" s="1"/>
  <c r="O499" i="1"/>
  <c r="M499" i="1"/>
  <c r="R498" i="1"/>
  <c r="U498" i="1" s="1"/>
  <c r="O498" i="1"/>
  <c r="M498" i="1"/>
  <c r="R497" i="1"/>
  <c r="U497" i="1" s="1"/>
  <c r="O497" i="1"/>
  <c r="M497" i="1"/>
  <c r="R496" i="1"/>
  <c r="U496" i="1" s="1"/>
  <c r="O496" i="1"/>
  <c r="M496" i="1"/>
  <c r="R495" i="1"/>
  <c r="U495" i="1" s="1"/>
  <c r="O495" i="1"/>
  <c r="M495" i="1"/>
  <c r="R494" i="1"/>
  <c r="U494" i="1" s="1"/>
  <c r="O494" i="1"/>
  <c r="M494" i="1"/>
  <c r="R493" i="1"/>
  <c r="U493" i="1" s="1"/>
  <c r="O493" i="1"/>
  <c r="M493" i="1"/>
  <c r="R492" i="1"/>
  <c r="U492" i="1" s="1"/>
  <c r="O492" i="1"/>
  <c r="M492" i="1"/>
  <c r="R491" i="1"/>
  <c r="U491" i="1" s="1"/>
  <c r="O491" i="1"/>
  <c r="M491" i="1"/>
  <c r="R490" i="1"/>
  <c r="U490" i="1" s="1"/>
  <c r="O490" i="1"/>
  <c r="M490" i="1"/>
  <c r="R489" i="1"/>
  <c r="U489" i="1" s="1"/>
  <c r="O489" i="1"/>
  <c r="M489" i="1"/>
  <c r="R488" i="1"/>
  <c r="U488" i="1" s="1"/>
  <c r="O488" i="1"/>
  <c r="M488" i="1"/>
  <c r="R487" i="1"/>
  <c r="U487" i="1" s="1"/>
  <c r="O487" i="1"/>
  <c r="M487" i="1"/>
  <c r="R486" i="1"/>
  <c r="U486" i="1" s="1"/>
  <c r="O486" i="1"/>
  <c r="M486" i="1"/>
  <c r="R485" i="1"/>
  <c r="U485" i="1" s="1"/>
  <c r="O485" i="1"/>
  <c r="M485" i="1"/>
  <c r="R484" i="1"/>
  <c r="U484" i="1" s="1"/>
  <c r="O484" i="1"/>
  <c r="M484" i="1"/>
  <c r="R483" i="1"/>
  <c r="U483" i="1" s="1"/>
  <c r="O483" i="1"/>
  <c r="M483" i="1"/>
  <c r="R482" i="1"/>
  <c r="U482" i="1" s="1"/>
  <c r="O482" i="1"/>
  <c r="M482" i="1"/>
  <c r="R481" i="1"/>
  <c r="U481" i="1" s="1"/>
  <c r="O481" i="1"/>
  <c r="M481" i="1"/>
  <c r="R480" i="1"/>
  <c r="U480" i="1" s="1"/>
  <c r="O480" i="1"/>
  <c r="M480" i="1"/>
  <c r="R479" i="1"/>
  <c r="U479" i="1" s="1"/>
  <c r="O479" i="1"/>
  <c r="M479" i="1"/>
  <c r="R478" i="1"/>
  <c r="U478" i="1" s="1"/>
  <c r="O478" i="1"/>
  <c r="M478" i="1"/>
  <c r="R477" i="1"/>
  <c r="U477" i="1" s="1"/>
  <c r="O477" i="1"/>
  <c r="M477" i="1"/>
  <c r="R476" i="1"/>
  <c r="U476" i="1" s="1"/>
  <c r="O476" i="1"/>
  <c r="M476" i="1"/>
  <c r="R475" i="1"/>
  <c r="U475" i="1" s="1"/>
  <c r="O475" i="1"/>
  <c r="M475" i="1"/>
  <c r="R474" i="1"/>
  <c r="U474" i="1" s="1"/>
  <c r="O474" i="1"/>
  <c r="M474" i="1"/>
  <c r="R473" i="1"/>
  <c r="U473" i="1" s="1"/>
  <c r="O473" i="1"/>
  <c r="M473" i="1"/>
  <c r="R472" i="1"/>
  <c r="U472" i="1" s="1"/>
  <c r="O472" i="1"/>
  <c r="M472" i="1"/>
  <c r="R471" i="1"/>
  <c r="U471" i="1" s="1"/>
  <c r="O471" i="1"/>
  <c r="M471" i="1"/>
  <c r="R470" i="1"/>
  <c r="U470" i="1" s="1"/>
  <c r="O470" i="1"/>
  <c r="M470" i="1"/>
  <c r="R469" i="1"/>
  <c r="U469" i="1" s="1"/>
  <c r="O469" i="1"/>
  <c r="M469" i="1"/>
  <c r="R468" i="1"/>
  <c r="U468" i="1" s="1"/>
  <c r="O468" i="1"/>
  <c r="M468" i="1"/>
  <c r="R467" i="1"/>
  <c r="U467" i="1" s="1"/>
  <c r="O467" i="1"/>
  <c r="M467" i="1"/>
  <c r="R466" i="1"/>
  <c r="U466" i="1" s="1"/>
  <c r="O466" i="1"/>
  <c r="M466" i="1"/>
  <c r="R465" i="1"/>
  <c r="U465" i="1" s="1"/>
  <c r="O465" i="1"/>
  <c r="M465" i="1"/>
  <c r="R464" i="1"/>
  <c r="U464" i="1" s="1"/>
  <c r="O464" i="1"/>
  <c r="M464" i="1"/>
  <c r="R463" i="1"/>
  <c r="U463" i="1" s="1"/>
  <c r="O463" i="1"/>
  <c r="M463" i="1"/>
  <c r="R462" i="1"/>
  <c r="U462" i="1" s="1"/>
  <c r="O462" i="1"/>
  <c r="M462" i="1"/>
  <c r="R461" i="1"/>
  <c r="U461" i="1" s="1"/>
  <c r="O461" i="1"/>
  <c r="M461" i="1"/>
  <c r="R460" i="1"/>
  <c r="U460" i="1" s="1"/>
  <c r="O460" i="1"/>
  <c r="M460" i="1"/>
  <c r="R459" i="1"/>
  <c r="U459" i="1" s="1"/>
  <c r="O459" i="1"/>
  <c r="M459" i="1"/>
  <c r="R458" i="1"/>
  <c r="U458" i="1" s="1"/>
  <c r="O458" i="1"/>
  <c r="M458" i="1"/>
  <c r="R457" i="1"/>
  <c r="U457" i="1" s="1"/>
  <c r="O457" i="1"/>
  <c r="M457" i="1"/>
  <c r="R456" i="1"/>
  <c r="U456" i="1" s="1"/>
  <c r="O456" i="1"/>
  <c r="M456" i="1"/>
  <c r="R455" i="1"/>
  <c r="U455" i="1" s="1"/>
  <c r="O455" i="1"/>
  <c r="M455" i="1"/>
  <c r="R454" i="1"/>
  <c r="U454" i="1" s="1"/>
  <c r="O454" i="1"/>
  <c r="M454" i="1"/>
  <c r="R453" i="1"/>
  <c r="U453" i="1" s="1"/>
  <c r="O453" i="1"/>
  <c r="M453" i="1"/>
  <c r="R452" i="1"/>
  <c r="U452" i="1" s="1"/>
  <c r="O452" i="1"/>
  <c r="M452" i="1"/>
  <c r="R451" i="1"/>
  <c r="U451" i="1" s="1"/>
  <c r="O451" i="1"/>
  <c r="M451" i="1"/>
  <c r="R450" i="1"/>
  <c r="U450" i="1" s="1"/>
  <c r="O450" i="1"/>
  <c r="M450" i="1"/>
  <c r="R449" i="1"/>
  <c r="U449" i="1" s="1"/>
  <c r="O449" i="1"/>
  <c r="M449" i="1"/>
  <c r="R448" i="1"/>
  <c r="U448" i="1" s="1"/>
  <c r="O448" i="1"/>
  <c r="M448" i="1"/>
  <c r="R447" i="1"/>
  <c r="U447" i="1" s="1"/>
  <c r="O447" i="1"/>
  <c r="M447" i="1"/>
  <c r="R446" i="1"/>
  <c r="U446" i="1" s="1"/>
  <c r="O446" i="1"/>
  <c r="M446" i="1"/>
  <c r="R445" i="1"/>
  <c r="U445" i="1" s="1"/>
  <c r="O445" i="1"/>
  <c r="M445" i="1"/>
  <c r="R444" i="1"/>
  <c r="U444" i="1" s="1"/>
  <c r="O444" i="1"/>
  <c r="M444" i="1"/>
  <c r="R443" i="1"/>
  <c r="U443" i="1" s="1"/>
  <c r="O443" i="1"/>
  <c r="M443" i="1"/>
  <c r="R442" i="1"/>
  <c r="U442" i="1" s="1"/>
  <c r="O442" i="1"/>
  <c r="M442" i="1"/>
  <c r="R441" i="1"/>
  <c r="U441" i="1" s="1"/>
  <c r="O441" i="1"/>
  <c r="M441" i="1"/>
  <c r="R440" i="1"/>
  <c r="U440" i="1" s="1"/>
  <c r="O440" i="1"/>
  <c r="M440" i="1"/>
  <c r="R439" i="1"/>
  <c r="U439" i="1" s="1"/>
  <c r="O439" i="1"/>
  <c r="M439" i="1"/>
  <c r="R438" i="1"/>
  <c r="U438" i="1" s="1"/>
  <c r="O438" i="1"/>
  <c r="M438" i="1"/>
  <c r="R437" i="1"/>
  <c r="U437" i="1" s="1"/>
  <c r="O437" i="1"/>
  <c r="M437" i="1"/>
  <c r="R436" i="1"/>
  <c r="U436" i="1" s="1"/>
  <c r="O436" i="1"/>
  <c r="M436" i="1"/>
  <c r="R435" i="1"/>
  <c r="U435" i="1" s="1"/>
  <c r="O435" i="1"/>
  <c r="M435" i="1"/>
  <c r="R434" i="1"/>
  <c r="U434" i="1" s="1"/>
  <c r="O434" i="1"/>
  <c r="M434" i="1"/>
  <c r="R433" i="1"/>
  <c r="U433" i="1" s="1"/>
  <c r="O433" i="1"/>
  <c r="M433" i="1"/>
  <c r="R432" i="1"/>
  <c r="U432" i="1" s="1"/>
  <c r="O432" i="1"/>
  <c r="M432" i="1"/>
  <c r="R431" i="1"/>
  <c r="U431" i="1" s="1"/>
  <c r="O431" i="1"/>
  <c r="M431" i="1"/>
  <c r="R430" i="1"/>
  <c r="U430" i="1" s="1"/>
  <c r="O430" i="1"/>
  <c r="M430" i="1"/>
  <c r="R429" i="1"/>
  <c r="U429" i="1" s="1"/>
  <c r="O429" i="1"/>
  <c r="M429" i="1"/>
  <c r="R428" i="1"/>
  <c r="U428" i="1" s="1"/>
  <c r="O428" i="1"/>
  <c r="M428" i="1"/>
  <c r="R427" i="1"/>
  <c r="U427" i="1" s="1"/>
  <c r="O427" i="1"/>
  <c r="M427" i="1"/>
  <c r="R426" i="1"/>
  <c r="U426" i="1" s="1"/>
  <c r="O426" i="1"/>
  <c r="M426" i="1"/>
  <c r="R425" i="1"/>
  <c r="U425" i="1" s="1"/>
  <c r="O425" i="1"/>
  <c r="M425" i="1"/>
  <c r="R424" i="1"/>
  <c r="U424" i="1" s="1"/>
  <c r="O424" i="1"/>
  <c r="M424" i="1"/>
  <c r="R423" i="1"/>
  <c r="U423" i="1" s="1"/>
  <c r="O423" i="1"/>
  <c r="M423" i="1"/>
  <c r="R422" i="1"/>
  <c r="U422" i="1" s="1"/>
  <c r="O422" i="1"/>
  <c r="M422" i="1"/>
  <c r="R421" i="1"/>
  <c r="U421" i="1" s="1"/>
  <c r="O421" i="1"/>
  <c r="M421" i="1"/>
  <c r="R420" i="1"/>
  <c r="U420" i="1" s="1"/>
  <c r="O420" i="1"/>
  <c r="M420" i="1"/>
  <c r="R419" i="1"/>
  <c r="U419" i="1" s="1"/>
  <c r="O419" i="1"/>
  <c r="M419" i="1"/>
  <c r="R418" i="1"/>
  <c r="U418" i="1" s="1"/>
  <c r="O418" i="1"/>
  <c r="M418" i="1"/>
  <c r="R417" i="1"/>
  <c r="U417" i="1" s="1"/>
  <c r="O417" i="1"/>
  <c r="M417" i="1"/>
  <c r="R416" i="1"/>
  <c r="U416" i="1" s="1"/>
  <c r="O416" i="1"/>
  <c r="M416" i="1"/>
  <c r="R415" i="1"/>
  <c r="U415" i="1" s="1"/>
  <c r="O415" i="1"/>
  <c r="M415" i="1"/>
  <c r="R414" i="1"/>
  <c r="U414" i="1" s="1"/>
  <c r="O414" i="1"/>
  <c r="M414" i="1"/>
  <c r="R413" i="1"/>
  <c r="U413" i="1" s="1"/>
  <c r="O413" i="1"/>
  <c r="M413" i="1"/>
  <c r="R412" i="1"/>
  <c r="U412" i="1" s="1"/>
  <c r="O412" i="1"/>
  <c r="M412" i="1"/>
  <c r="R411" i="1"/>
  <c r="U411" i="1" s="1"/>
  <c r="O411" i="1"/>
  <c r="M411" i="1"/>
  <c r="R410" i="1"/>
  <c r="U410" i="1" s="1"/>
  <c r="O410" i="1"/>
  <c r="M410" i="1"/>
  <c r="R409" i="1"/>
  <c r="U409" i="1" s="1"/>
  <c r="O409" i="1"/>
  <c r="M409" i="1"/>
  <c r="R408" i="1"/>
  <c r="U408" i="1" s="1"/>
  <c r="O408" i="1"/>
  <c r="M408" i="1"/>
  <c r="R407" i="1"/>
  <c r="U407" i="1" s="1"/>
  <c r="O407" i="1"/>
  <c r="M407" i="1"/>
  <c r="R406" i="1"/>
  <c r="U406" i="1" s="1"/>
  <c r="O406" i="1"/>
  <c r="M406" i="1"/>
  <c r="R405" i="1"/>
  <c r="U405" i="1" s="1"/>
  <c r="O405" i="1"/>
  <c r="M405" i="1"/>
  <c r="R404" i="1"/>
  <c r="U404" i="1" s="1"/>
  <c r="O404" i="1"/>
  <c r="M404" i="1"/>
  <c r="R403" i="1"/>
  <c r="U403" i="1" s="1"/>
  <c r="O403" i="1"/>
  <c r="M403" i="1"/>
  <c r="R402" i="1"/>
  <c r="U402" i="1" s="1"/>
  <c r="O402" i="1"/>
  <c r="M402" i="1"/>
  <c r="R401" i="1"/>
  <c r="U401" i="1" s="1"/>
  <c r="O401" i="1"/>
  <c r="M401" i="1"/>
  <c r="R400" i="1"/>
  <c r="U400" i="1" s="1"/>
  <c r="O400" i="1"/>
  <c r="M400" i="1"/>
  <c r="R399" i="1"/>
  <c r="U399" i="1" s="1"/>
  <c r="O399" i="1"/>
  <c r="M399" i="1"/>
  <c r="R398" i="1"/>
  <c r="U398" i="1" s="1"/>
  <c r="O398" i="1"/>
  <c r="M398" i="1"/>
  <c r="R397" i="1"/>
  <c r="U397" i="1" s="1"/>
  <c r="O397" i="1"/>
  <c r="M397" i="1"/>
  <c r="R396" i="1"/>
  <c r="U396" i="1" s="1"/>
  <c r="O396" i="1"/>
  <c r="M396" i="1"/>
  <c r="R395" i="1"/>
  <c r="U395" i="1" s="1"/>
  <c r="O395" i="1"/>
  <c r="M395" i="1"/>
  <c r="R394" i="1"/>
  <c r="U394" i="1" s="1"/>
  <c r="O394" i="1"/>
  <c r="M394" i="1"/>
  <c r="R393" i="1"/>
  <c r="U393" i="1" s="1"/>
  <c r="O393" i="1"/>
  <c r="M393" i="1"/>
  <c r="R392" i="1"/>
  <c r="U392" i="1" s="1"/>
  <c r="O392" i="1"/>
  <c r="M392" i="1"/>
  <c r="R391" i="1"/>
  <c r="U391" i="1" s="1"/>
  <c r="O391" i="1"/>
  <c r="M391" i="1"/>
  <c r="R390" i="1"/>
  <c r="U390" i="1" s="1"/>
  <c r="O390" i="1"/>
  <c r="M390" i="1"/>
  <c r="R389" i="1"/>
  <c r="U389" i="1" s="1"/>
  <c r="O389" i="1"/>
  <c r="M389" i="1"/>
  <c r="R388" i="1"/>
  <c r="U388" i="1" s="1"/>
  <c r="O388" i="1"/>
  <c r="M388" i="1"/>
  <c r="R387" i="1"/>
  <c r="U387" i="1" s="1"/>
  <c r="O387" i="1"/>
  <c r="M387" i="1"/>
  <c r="R386" i="1"/>
  <c r="U386" i="1" s="1"/>
  <c r="O386" i="1"/>
  <c r="M386" i="1"/>
  <c r="R385" i="1"/>
  <c r="U385" i="1" s="1"/>
  <c r="O385" i="1"/>
  <c r="M385" i="1"/>
  <c r="R384" i="1"/>
  <c r="U384" i="1" s="1"/>
  <c r="O384" i="1"/>
  <c r="M384" i="1"/>
  <c r="R383" i="1"/>
  <c r="U383" i="1" s="1"/>
  <c r="O383" i="1"/>
  <c r="M383" i="1"/>
  <c r="R382" i="1"/>
  <c r="U382" i="1" s="1"/>
  <c r="O382" i="1"/>
  <c r="M382" i="1"/>
  <c r="R381" i="1"/>
  <c r="U381" i="1" s="1"/>
  <c r="O381" i="1"/>
  <c r="M381" i="1"/>
  <c r="R380" i="1"/>
  <c r="U380" i="1" s="1"/>
  <c r="O380" i="1"/>
  <c r="M380" i="1"/>
  <c r="R379" i="1"/>
  <c r="U379" i="1" s="1"/>
  <c r="O379" i="1"/>
  <c r="M379" i="1"/>
  <c r="R378" i="1"/>
  <c r="U378" i="1" s="1"/>
  <c r="O378" i="1"/>
  <c r="M378" i="1"/>
  <c r="R377" i="1"/>
  <c r="U377" i="1" s="1"/>
  <c r="O377" i="1"/>
  <c r="M377" i="1"/>
  <c r="R376" i="1"/>
  <c r="U376" i="1" s="1"/>
  <c r="O376" i="1"/>
  <c r="M376" i="1"/>
  <c r="R375" i="1"/>
  <c r="U375" i="1" s="1"/>
  <c r="O375" i="1"/>
  <c r="M375" i="1"/>
  <c r="R374" i="1"/>
  <c r="U374" i="1" s="1"/>
  <c r="O374" i="1"/>
  <c r="M374" i="1"/>
  <c r="R373" i="1"/>
  <c r="U373" i="1" s="1"/>
  <c r="O373" i="1"/>
  <c r="M373" i="1"/>
  <c r="R372" i="1"/>
  <c r="U372" i="1" s="1"/>
  <c r="O372" i="1"/>
  <c r="M372" i="1"/>
  <c r="R371" i="1"/>
  <c r="U371" i="1" s="1"/>
  <c r="O371" i="1"/>
  <c r="M371" i="1"/>
  <c r="R370" i="1"/>
  <c r="U370" i="1" s="1"/>
  <c r="O370" i="1"/>
  <c r="M370" i="1"/>
  <c r="R369" i="1"/>
  <c r="U369" i="1" s="1"/>
  <c r="O369" i="1"/>
  <c r="M369" i="1"/>
  <c r="R368" i="1"/>
  <c r="U368" i="1" s="1"/>
  <c r="O368" i="1"/>
  <c r="M368" i="1"/>
  <c r="R367" i="1"/>
  <c r="U367" i="1" s="1"/>
  <c r="O367" i="1"/>
  <c r="M367" i="1"/>
  <c r="R366" i="1"/>
  <c r="U366" i="1" s="1"/>
  <c r="O366" i="1"/>
  <c r="M366" i="1"/>
  <c r="R365" i="1"/>
  <c r="U365" i="1" s="1"/>
  <c r="O365" i="1"/>
  <c r="M365" i="1"/>
  <c r="R364" i="1"/>
  <c r="U364" i="1" s="1"/>
  <c r="O364" i="1"/>
  <c r="M364" i="1"/>
  <c r="R363" i="1"/>
  <c r="U363" i="1" s="1"/>
  <c r="O363" i="1"/>
  <c r="M363" i="1"/>
  <c r="R362" i="1"/>
  <c r="U362" i="1" s="1"/>
  <c r="O362" i="1"/>
  <c r="M362" i="1"/>
  <c r="R361" i="1"/>
  <c r="U361" i="1" s="1"/>
  <c r="O361" i="1"/>
  <c r="M361" i="1"/>
  <c r="R360" i="1"/>
  <c r="U360" i="1" s="1"/>
  <c r="O360" i="1"/>
  <c r="M360" i="1"/>
  <c r="R359" i="1"/>
  <c r="U359" i="1" s="1"/>
  <c r="O359" i="1"/>
  <c r="M359" i="1"/>
  <c r="R358" i="1"/>
  <c r="U358" i="1" s="1"/>
  <c r="O358" i="1"/>
  <c r="M358" i="1"/>
  <c r="R357" i="1"/>
  <c r="U357" i="1" s="1"/>
  <c r="O357" i="1"/>
  <c r="M357" i="1"/>
  <c r="R356" i="1"/>
  <c r="U356" i="1" s="1"/>
  <c r="O356" i="1"/>
  <c r="M356" i="1"/>
  <c r="R355" i="1"/>
  <c r="U355" i="1" s="1"/>
  <c r="O355" i="1"/>
  <c r="M355" i="1"/>
  <c r="R354" i="1"/>
  <c r="U354" i="1" s="1"/>
  <c r="O354" i="1"/>
  <c r="M354" i="1"/>
  <c r="R353" i="1"/>
  <c r="U353" i="1" s="1"/>
  <c r="O353" i="1"/>
  <c r="M353" i="1"/>
  <c r="R352" i="1"/>
  <c r="U352" i="1" s="1"/>
  <c r="O352" i="1"/>
  <c r="M352" i="1"/>
  <c r="R351" i="1"/>
  <c r="U351" i="1" s="1"/>
  <c r="O351" i="1"/>
  <c r="M351" i="1"/>
  <c r="R350" i="1"/>
  <c r="U350" i="1" s="1"/>
  <c r="O350" i="1"/>
  <c r="M350" i="1"/>
  <c r="R349" i="1"/>
  <c r="U349" i="1" s="1"/>
  <c r="O349" i="1"/>
  <c r="M349" i="1"/>
  <c r="R348" i="1"/>
  <c r="U348" i="1" s="1"/>
  <c r="O348" i="1"/>
  <c r="M348" i="1"/>
  <c r="R347" i="1"/>
  <c r="U347" i="1" s="1"/>
  <c r="O347" i="1"/>
  <c r="M347" i="1"/>
  <c r="R346" i="1"/>
  <c r="U346" i="1" s="1"/>
  <c r="O346" i="1"/>
  <c r="M346" i="1"/>
  <c r="R345" i="1"/>
  <c r="U345" i="1" s="1"/>
  <c r="O345" i="1"/>
  <c r="M345" i="1"/>
  <c r="R344" i="1"/>
  <c r="U344" i="1" s="1"/>
  <c r="O344" i="1"/>
  <c r="M344" i="1"/>
  <c r="R343" i="1"/>
  <c r="U343" i="1" s="1"/>
  <c r="O343" i="1"/>
  <c r="M343" i="1"/>
  <c r="R342" i="1"/>
  <c r="U342" i="1" s="1"/>
  <c r="O342" i="1"/>
  <c r="M342" i="1"/>
  <c r="R341" i="1"/>
  <c r="U341" i="1" s="1"/>
  <c r="O341" i="1"/>
  <c r="M341" i="1"/>
  <c r="R340" i="1"/>
  <c r="U340" i="1" s="1"/>
  <c r="O340" i="1"/>
  <c r="M340" i="1"/>
  <c r="R339" i="1"/>
  <c r="U339" i="1" s="1"/>
  <c r="O339" i="1"/>
  <c r="M339" i="1"/>
  <c r="R338" i="1"/>
  <c r="U338" i="1" s="1"/>
  <c r="O338" i="1"/>
  <c r="M338" i="1"/>
  <c r="R337" i="1"/>
  <c r="U337" i="1" s="1"/>
  <c r="O337" i="1"/>
  <c r="M337" i="1"/>
  <c r="R336" i="1"/>
  <c r="U336" i="1" s="1"/>
  <c r="O336" i="1"/>
  <c r="M336" i="1"/>
  <c r="R335" i="1"/>
  <c r="U335" i="1" s="1"/>
  <c r="O335" i="1"/>
  <c r="M335" i="1"/>
  <c r="R334" i="1"/>
  <c r="U334" i="1" s="1"/>
  <c r="O334" i="1"/>
  <c r="M334" i="1"/>
  <c r="R333" i="1"/>
  <c r="U333" i="1" s="1"/>
  <c r="O333" i="1"/>
  <c r="M333" i="1"/>
  <c r="R332" i="1"/>
  <c r="U332" i="1" s="1"/>
  <c r="O332" i="1"/>
  <c r="M332" i="1"/>
  <c r="R331" i="1"/>
  <c r="U331" i="1" s="1"/>
  <c r="O331" i="1"/>
  <c r="M331" i="1"/>
  <c r="R330" i="1"/>
  <c r="U330" i="1" s="1"/>
  <c r="O330" i="1"/>
  <c r="M330" i="1"/>
  <c r="R329" i="1"/>
  <c r="U329" i="1" s="1"/>
  <c r="O329" i="1"/>
  <c r="M329" i="1"/>
  <c r="R328" i="1"/>
  <c r="U328" i="1" s="1"/>
  <c r="O328" i="1"/>
  <c r="M328" i="1"/>
  <c r="R327" i="1"/>
  <c r="U327" i="1" s="1"/>
  <c r="O327" i="1"/>
  <c r="M327" i="1"/>
  <c r="R326" i="1"/>
  <c r="U326" i="1" s="1"/>
  <c r="O326" i="1"/>
  <c r="M326" i="1"/>
  <c r="R325" i="1"/>
  <c r="U325" i="1" s="1"/>
  <c r="O325" i="1"/>
  <c r="M325" i="1"/>
  <c r="R324" i="1"/>
  <c r="U324" i="1" s="1"/>
  <c r="O324" i="1"/>
  <c r="M324" i="1"/>
  <c r="R323" i="1"/>
  <c r="U323" i="1" s="1"/>
  <c r="O323" i="1"/>
  <c r="M323" i="1"/>
  <c r="R322" i="1"/>
  <c r="U322" i="1" s="1"/>
  <c r="O322" i="1"/>
  <c r="M322" i="1"/>
  <c r="R321" i="1"/>
  <c r="U321" i="1" s="1"/>
  <c r="O321" i="1"/>
  <c r="M321" i="1"/>
  <c r="R320" i="1"/>
  <c r="U320" i="1" s="1"/>
  <c r="O320" i="1"/>
  <c r="M320" i="1"/>
  <c r="R319" i="1"/>
  <c r="U319" i="1" s="1"/>
  <c r="O319" i="1"/>
  <c r="M319" i="1"/>
  <c r="R318" i="1"/>
  <c r="U318" i="1" s="1"/>
  <c r="O318" i="1"/>
  <c r="M318" i="1"/>
  <c r="R317" i="1"/>
  <c r="U317" i="1" s="1"/>
  <c r="O317" i="1"/>
  <c r="M317" i="1"/>
  <c r="R316" i="1"/>
  <c r="U316" i="1" s="1"/>
  <c r="O316" i="1"/>
  <c r="M316" i="1"/>
  <c r="R315" i="1"/>
  <c r="U315" i="1" s="1"/>
  <c r="O315" i="1"/>
  <c r="M315" i="1"/>
  <c r="R314" i="1"/>
  <c r="U314" i="1" s="1"/>
  <c r="O314" i="1"/>
  <c r="M314" i="1"/>
  <c r="R313" i="1"/>
  <c r="U313" i="1" s="1"/>
  <c r="O313" i="1"/>
  <c r="M313" i="1"/>
  <c r="R312" i="1"/>
  <c r="U312" i="1" s="1"/>
  <c r="O312" i="1"/>
  <c r="M312" i="1"/>
  <c r="R311" i="1"/>
  <c r="U311" i="1" s="1"/>
  <c r="O311" i="1"/>
  <c r="M311" i="1"/>
  <c r="R310" i="1"/>
  <c r="U310" i="1" s="1"/>
  <c r="O310" i="1"/>
  <c r="M310" i="1"/>
  <c r="R309" i="1"/>
  <c r="U309" i="1" s="1"/>
  <c r="O309" i="1"/>
  <c r="M309" i="1"/>
  <c r="R308" i="1"/>
  <c r="U308" i="1" s="1"/>
  <c r="O308" i="1"/>
  <c r="M308" i="1"/>
  <c r="R307" i="1"/>
  <c r="U307" i="1" s="1"/>
  <c r="O307" i="1"/>
  <c r="M307" i="1"/>
  <c r="R306" i="1"/>
  <c r="U306" i="1" s="1"/>
  <c r="O306" i="1"/>
  <c r="M306" i="1"/>
  <c r="R305" i="1"/>
  <c r="U305" i="1" s="1"/>
  <c r="O305" i="1"/>
  <c r="M305" i="1"/>
  <c r="R304" i="1"/>
  <c r="U304" i="1" s="1"/>
  <c r="O304" i="1"/>
  <c r="M304" i="1"/>
  <c r="R303" i="1"/>
  <c r="U303" i="1" s="1"/>
  <c r="O303" i="1"/>
  <c r="M303" i="1"/>
  <c r="R302" i="1"/>
  <c r="U302" i="1" s="1"/>
  <c r="O302" i="1"/>
  <c r="M302" i="1"/>
  <c r="R301" i="1"/>
  <c r="U301" i="1" s="1"/>
  <c r="O301" i="1"/>
  <c r="M301" i="1"/>
  <c r="R300" i="1"/>
  <c r="U300" i="1" s="1"/>
  <c r="O300" i="1"/>
  <c r="M300" i="1"/>
  <c r="R299" i="1"/>
  <c r="U299" i="1" s="1"/>
  <c r="O299" i="1"/>
  <c r="M299" i="1"/>
  <c r="R298" i="1"/>
  <c r="U298" i="1" s="1"/>
  <c r="O298" i="1"/>
  <c r="M298" i="1"/>
  <c r="R297" i="1"/>
  <c r="U297" i="1" s="1"/>
  <c r="O297" i="1"/>
  <c r="M297" i="1"/>
  <c r="R296" i="1"/>
  <c r="U296" i="1" s="1"/>
  <c r="O296" i="1"/>
  <c r="M296" i="1"/>
  <c r="R295" i="1"/>
  <c r="U295" i="1" s="1"/>
  <c r="O295" i="1"/>
  <c r="M295" i="1"/>
  <c r="R294" i="1"/>
  <c r="U294" i="1" s="1"/>
  <c r="O294" i="1"/>
  <c r="M294" i="1"/>
  <c r="R293" i="1"/>
  <c r="U293" i="1" s="1"/>
  <c r="O293" i="1"/>
  <c r="M293" i="1"/>
  <c r="R292" i="1"/>
  <c r="U292" i="1" s="1"/>
  <c r="O292" i="1"/>
  <c r="M292" i="1"/>
  <c r="R291" i="1"/>
  <c r="U291" i="1" s="1"/>
  <c r="O291" i="1"/>
  <c r="M291" i="1"/>
  <c r="R290" i="1"/>
  <c r="U290" i="1" s="1"/>
  <c r="O290" i="1"/>
  <c r="M290" i="1"/>
  <c r="R289" i="1"/>
  <c r="U289" i="1" s="1"/>
  <c r="O289" i="1"/>
  <c r="M289" i="1"/>
  <c r="R288" i="1"/>
  <c r="U288" i="1" s="1"/>
  <c r="O288" i="1"/>
  <c r="M288" i="1"/>
  <c r="R287" i="1"/>
  <c r="U287" i="1" s="1"/>
  <c r="O287" i="1"/>
  <c r="M287" i="1"/>
  <c r="R286" i="1"/>
  <c r="U286" i="1" s="1"/>
  <c r="O286" i="1"/>
  <c r="M286" i="1"/>
  <c r="R285" i="1"/>
  <c r="U285" i="1" s="1"/>
  <c r="O285" i="1"/>
  <c r="M285" i="1"/>
  <c r="R284" i="1"/>
  <c r="U284" i="1" s="1"/>
  <c r="O284" i="1"/>
  <c r="M284" i="1"/>
  <c r="R283" i="1"/>
  <c r="U283" i="1" s="1"/>
  <c r="O283" i="1"/>
  <c r="M283" i="1"/>
  <c r="R282" i="1"/>
  <c r="U282" i="1" s="1"/>
  <c r="O282" i="1"/>
  <c r="M282" i="1"/>
  <c r="R281" i="1"/>
  <c r="U281" i="1" s="1"/>
  <c r="O281" i="1"/>
  <c r="M281" i="1"/>
  <c r="R280" i="1"/>
  <c r="U280" i="1" s="1"/>
  <c r="O280" i="1"/>
  <c r="M280" i="1"/>
  <c r="R279" i="1"/>
  <c r="U279" i="1" s="1"/>
  <c r="O279" i="1"/>
  <c r="M279" i="1"/>
  <c r="R278" i="1"/>
  <c r="U278" i="1" s="1"/>
  <c r="O278" i="1"/>
  <c r="M278" i="1"/>
  <c r="R277" i="1"/>
  <c r="U277" i="1" s="1"/>
  <c r="O277" i="1"/>
  <c r="M277" i="1"/>
  <c r="R276" i="1"/>
  <c r="U276" i="1" s="1"/>
  <c r="O276" i="1"/>
  <c r="M276" i="1"/>
  <c r="R275" i="1"/>
  <c r="U275" i="1" s="1"/>
  <c r="O275" i="1"/>
  <c r="M275" i="1"/>
  <c r="R274" i="1"/>
  <c r="U274" i="1" s="1"/>
  <c r="O274" i="1"/>
  <c r="M274" i="1"/>
  <c r="R273" i="1"/>
  <c r="U273" i="1" s="1"/>
  <c r="O273" i="1"/>
  <c r="M273" i="1"/>
  <c r="R272" i="1"/>
  <c r="U272" i="1" s="1"/>
  <c r="O272" i="1"/>
  <c r="M272" i="1"/>
  <c r="R271" i="1"/>
  <c r="U271" i="1" s="1"/>
  <c r="O271" i="1"/>
  <c r="M271" i="1"/>
  <c r="R270" i="1"/>
  <c r="U270" i="1" s="1"/>
  <c r="O270" i="1"/>
  <c r="M270" i="1"/>
  <c r="R269" i="1"/>
  <c r="U269" i="1" s="1"/>
  <c r="O269" i="1"/>
  <c r="M269" i="1"/>
  <c r="R268" i="1"/>
  <c r="U268" i="1" s="1"/>
  <c r="O268" i="1"/>
  <c r="M268" i="1"/>
  <c r="R267" i="1"/>
  <c r="U267" i="1" s="1"/>
  <c r="O267" i="1"/>
  <c r="M267" i="1"/>
  <c r="R266" i="1"/>
  <c r="U266" i="1" s="1"/>
  <c r="O266" i="1"/>
  <c r="M266" i="1"/>
  <c r="R265" i="1"/>
  <c r="U265" i="1" s="1"/>
  <c r="O265" i="1"/>
  <c r="M265" i="1"/>
  <c r="R264" i="1"/>
  <c r="U264" i="1" s="1"/>
  <c r="O264" i="1"/>
  <c r="M264" i="1"/>
  <c r="R263" i="1"/>
  <c r="U263" i="1" s="1"/>
  <c r="O263" i="1"/>
  <c r="M263" i="1"/>
  <c r="R262" i="1"/>
  <c r="U262" i="1" s="1"/>
  <c r="O262" i="1"/>
  <c r="M262" i="1"/>
  <c r="R261" i="1"/>
  <c r="U261" i="1" s="1"/>
  <c r="O261" i="1"/>
  <c r="M261" i="1"/>
  <c r="R260" i="1"/>
  <c r="U260" i="1" s="1"/>
  <c r="O260" i="1"/>
  <c r="M260" i="1"/>
  <c r="R259" i="1"/>
  <c r="U259" i="1" s="1"/>
  <c r="O259" i="1"/>
  <c r="M259" i="1"/>
  <c r="R258" i="1"/>
  <c r="U258" i="1" s="1"/>
  <c r="O258" i="1"/>
  <c r="M258" i="1"/>
  <c r="R257" i="1"/>
  <c r="U257" i="1" s="1"/>
  <c r="O257" i="1"/>
  <c r="M257" i="1"/>
  <c r="R256" i="1"/>
  <c r="U256" i="1" s="1"/>
  <c r="O256" i="1"/>
  <c r="M256" i="1"/>
  <c r="R255" i="1"/>
  <c r="U255" i="1" s="1"/>
  <c r="O255" i="1"/>
  <c r="M255" i="1"/>
  <c r="R254" i="1"/>
  <c r="U254" i="1" s="1"/>
  <c r="O254" i="1"/>
  <c r="M254" i="1"/>
  <c r="R253" i="1"/>
  <c r="U253" i="1" s="1"/>
  <c r="O253" i="1"/>
  <c r="M253" i="1"/>
  <c r="R252" i="1"/>
  <c r="U252" i="1" s="1"/>
  <c r="O252" i="1"/>
  <c r="M252" i="1"/>
  <c r="R251" i="1"/>
  <c r="U251" i="1" s="1"/>
  <c r="O251" i="1"/>
  <c r="M251" i="1"/>
  <c r="R250" i="1"/>
  <c r="U250" i="1" s="1"/>
  <c r="O250" i="1"/>
  <c r="M250" i="1"/>
  <c r="R249" i="1"/>
  <c r="U249" i="1" s="1"/>
  <c r="O249" i="1"/>
  <c r="M249" i="1"/>
  <c r="R248" i="1"/>
  <c r="U248" i="1" s="1"/>
  <c r="O248" i="1"/>
  <c r="M248" i="1"/>
  <c r="R247" i="1"/>
  <c r="U247" i="1" s="1"/>
  <c r="O247" i="1"/>
  <c r="M247" i="1"/>
  <c r="R246" i="1"/>
  <c r="U246" i="1" s="1"/>
  <c r="O246" i="1"/>
  <c r="M246" i="1"/>
  <c r="R245" i="1"/>
  <c r="U245" i="1" s="1"/>
  <c r="O245" i="1"/>
  <c r="M245" i="1"/>
  <c r="R244" i="1"/>
  <c r="U244" i="1" s="1"/>
  <c r="O244" i="1"/>
  <c r="M244" i="1"/>
  <c r="R243" i="1"/>
  <c r="U243" i="1" s="1"/>
  <c r="O243" i="1"/>
  <c r="M243" i="1"/>
  <c r="R242" i="1"/>
  <c r="U242" i="1" s="1"/>
  <c r="O242" i="1"/>
  <c r="M242" i="1"/>
  <c r="R241" i="1"/>
  <c r="U241" i="1" s="1"/>
  <c r="O241" i="1"/>
  <c r="M241" i="1"/>
  <c r="R240" i="1"/>
  <c r="U240" i="1" s="1"/>
  <c r="O240" i="1"/>
  <c r="M240" i="1"/>
  <c r="R239" i="1"/>
  <c r="U239" i="1" s="1"/>
  <c r="O239" i="1"/>
  <c r="M239" i="1"/>
  <c r="R238" i="1"/>
  <c r="U238" i="1" s="1"/>
  <c r="O238" i="1"/>
  <c r="M238" i="1"/>
  <c r="R237" i="1"/>
  <c r="U237" i="1" s="1"/>
  <c r="O237" i="1"/>
  <c r="M237" i="1"/>
  <c r="R236" i="1"/>
  <c r="U236" i="1" s="1"/>
  <c r="O236" i="1"/>
  <c r="M236" i="1"/>
  <c r="R235" i="1"/>
  <c r="U235" i="1" s="1"/>
  <c r="O235" i="1"/>
  <c r="M235" i="1"/>
  <c r="R234" i="1"/>
  <c r="U234" i="1" s="1"/>
  <c r="O234" i="1"/>
  <c r="M234" i="1"/>
  <c r="R233" i="1"/>
  <c r="U233" i="1" s="1"/>
  <c r="O233" i="1"/>
  <c r="M233" i="1"/>
  <c r="R232" i="1"/>
  <c r="U232" i="1" s="1"/>
  <c r="O232" i="1"/>
  <c r="M232" i="1"/>
  <c r="R231" i="1"/>
  <c r="U231" i="1" s="1"/>
  <c r="O231" i="1"/>
  <c r="M231" i="1"/>
  <c r="R230" i="1"/>
  <c r="U230" i="1" s="1"/>
  <c r="O230" i="1"/>
  <c r="M230" i="1"/>
  <c r="R229" i="1"/>
  <c r="U229" i="1" s="1"/>
  <c r="O229" i="1"/>
  <c r="M229" i="1"/>
  <c r="R228" i="1"/>
  <c r="U228" i="1" s="1"/>
  <c r="O228" i="1"/>
  <c r="M228" i="1"/>
  <c r="R227" i="1"/>
  <c r="U227" i="1" s="1"/>
  <c r="O227" i="1"/>
  <c r="M227" i="1"/>
  <c r="R226" i="1"/>
  <c r="U226" i="1" s="1"/>
  <c r="O226" i="1"/>
  <c r="M226" i="1"/>
  <c r="R225" i="1"/>
  <c r="U225" i="1" s="1"/>
  <c r="O225" i="1"/>
  <c r="M225" i="1"/>
  <c r="R224" i="1"/>
  <c r="U224" i="1" s="1"/>
  <c r="O224" i="1"/>
  <c r="M224" i="1"/>
  <c r="R223" i="1"/>
  <c r="U223" i="1" s="1"/>
  <c r="O223" i="1"/>
  <c r="M223" i="1"/>
  <c r="R222" i="1"/>
  <c r="U222" i="1" s="1"/>
  <c r="O222" i="1"/>
  <c r="M222" i="1"/>
  <c r="R221" i="1"/>
  <c r="U221" i="1" s="1"/>
  <c r="O221" i="1"/>
  <c r="M221" i="1"/>
  <c r="R220" i="1"/>
  <c r="U220" i="1" s="1"/>
  <c r="O220" i="1"/>
  <c r="M220" i="1"/>
  <c r="R219" i="1"/>
  <c r="U219" i="1" s="1"/>
  <c r="O219" i="1"/>
  <c r="M219" i="1"/>
  <c r="R218" i="1"/>
  <c r="U218" i="1" s="1"/>
  <c r="O218" i="1"/>
  <c r="M218" i="1"/>
  <c r="R217" i="1"/>
  <c r="U217" i="1" s="1"/>
  <c r="O217" i="1"/>
  <c r="M217" i="1"/>
  <c r="R216" i="1"/>
  <c r="U216" i="1" s="1"/>
  <c r="O216" i="1"/>
  <c r="M216" i="1"/>
  <c r="R215" i="1"/>
  <c r="U215" i="1" s="1"/>
  <c r="O215" i="1"/>
  <c r="M215" i="1"/>
  <c r="R214" i="1"/>
  <c r="U214" i="1" s="1"/>
  <c r="O214" i="1"/>
  <c r="M214" i="1"/>
  <c r="R213" i="1"/>
  <c r="U213" i="1" s="1"/>
  <c r="O213" i="1"/>
  <c r="M213" i="1"/>
  <c r="R212" i="1"/>
  <c r="U212" i="1" s="1"/>
  <c r="O212" i="1"/>
  <c r="M212" i="1"/>
  <c r="R211" i="1"/>
  <c r="U211" i="1" s="1"/>
  <c r="O211" i="1"/>
  <c r="M211" i="1"/>
  <c r="R210" i="1"/>
  <c r="U210" i="1" s="1"/>
  <c r="O210" i="1"/>
  <c r="M210" i="1"/>
  <c r="R209" i="1"/>
  <c r="U209" i="1" s="1"/>
  <c r="O209" i="1"/>
  <c r="M209" i="1"/>
  <c r="R208" i="1"/>
  <c r="U208" i="1" s="1"/>
  <c r="O208" i="1"/>
  <c r="M208" i="1"/>
  <c r="R207" i="1"/>
  <c r="U207" i="1" s="1"/>
  <c r="O207" i="1"/>
  <c r="M207" i="1"/>
  <c r="R206" i="1"/>
  <c r="U206" i="1" s="1"/>
  <c r="O206" i="1"/>
  <c r="M206" i="1"/>
  <c r="R205" i="1"/>
  <c r="U205" i="1" s="1"/>
  <c r="O205" i="1"/>
  <c r="M205" i="1"/>
  <c r="R204" i="1"/>
  <c r="U204" i="1" s="1"/>
  <c r="O204" i="1"/>
  <c r="M204" i="1"/>
  <c r="R203" i="1"/>
  <c r="U203" i="1" s="1"/>
  <c r="O203" i="1"/>
  <c r="M203" i="1"/>
  <c r="R202" i="1"/>
  <c r="U202" i="1" s="1"/>
  <c r="O202" i="1"/>
  <c r="M202" i="1"/>
  <c r="R201" i="1"/>
  <c r="U201" i="1" s="1"/>
  <c r="O201" i="1"/>
  <c r="M201" i="1"/>
  <c r="R200" i="1"/>
  <c r="U200" i="1" s="1"/>
  <c r="O200" i="1"/>
  <c r="M200" i="1"/>
  <c r="R199" i="1"/>
  <c r="U199" i="1" s="1"/>
  <c r="O199" i="1"/>
  <c r="M199" i="1"/>
  <c r="R198" i="1"/>
  <c r="U198" i="1" s="1"/>
  <c r="O198" i="1"/>
  <c r="M198" i="1"/>
  <c r="R197" i="1"/>
  <c r="U197" i="1" s="1"/>
  <c r="O197" i="1"/>
  <c r="M197" i="1"/>
  <c r="R196" i="1"/>
  <c r="U196" i="1" s="1"/>
  <c r="O196" i="1"/>
  <c r="M196" i="1"/>
  <c r="R195" i="1"/>
  <c r="U195" i="1" s="1"/>
  <c r="O195" i="1"/>
  <c r="M195" i="1"/>
  <c r="R194" i="1"/>
  <c r="U194" i="1" s="1"/>
  <c r="O194" i="1"/>
  <c r="M194" i="1"/>
  <c r="R193" i="1"/>
  <c r="U193" i="1" s="1"/>
  <c r="O193" i="1"/>
  <c r="M193" i="1"/>
  <c r="R192" i="1"/>
  <c r="U192" i="1" s="1"/>
  <c r="O192" i="1"/>
  <c r="M192" i="1"/>
  <c r="R191" i="1"/>
  <c r="U191" i="1" s="1"/>
  <c r="O191" i="1"/>
  <c r="M191" i="1"/>
  <c r="R190" i="1"/>
  <c r="U190" i="1" s="1"/>
  <c r="O190" i="1"/>
  <c r="M190" i="1"/>
  <c r="R189" i="1"/>
  <c r="U189" i="1" s="1"/>
  <c r="O189" i="1"/>
  <c r="M189" i="1"/>
  <c r="R188" i="1"/>
  <c r="U188" i="1" s="1"/>
  <c r="O188" i="1"/>
  <c r="M188" i="1"/>
  <c r="R187" i="1"/>
  <c r="U187" i="1" s="1"/>
  <c r="O187" i="1"/>
  <c r="M187" i="1"/>
  <c r="R186" i="1"/>
  <c r="U186" i="1" s="1"/>
  <c r="O186" i="1"/>
  <c r="M186" i="1"/>
  <c r="R185" i="1"/>
  <c r="U185" i="1" s="1"/>
  <c r="O185" i="1"/>
  <c r="M185" i="1"/>
  <c r="R184" i="1"/>
  <c r="U184" i="1" s="1"/>
  <c r="O184" i="1"/>
  <c r="M184" i="1"/>
  <c r="R183" i="1"/>
  <c r="U183" i="1" s="1"/>
  <c r="O183" i="1"/>
  <c r="M183" i="1"/>
  <c r="R182" i="1"/>
  <c r="U182" i="1" s="1"/>
  <c r="O182" i="1"/>
  <c r="M182" i="1"/>
  <c r="R181" i="1"/>
  <c r="U181" i="1" s="1"/>
  <c r="O181" i="1"/>
  <c r="M181" i="1"/>
  <c r="R180" i="1"/>
  <c r="U180" i="1" s="1"/>
  <c r="O180" i="1"/>
  <c r="M180" i="1"/>
  <c r="R179" i="1"/>
  <c r="U179" i="1" s="1"/>
  <c r="O179" i="1"/>
  <c r="M179" i="1"/>
  <c r="R178" i="1"/>
  <c r="U178" i="1" s="1"/>
  <c r="O178" i="1"/>
  <c r="M178" i="1"/>
  <c r="R177" i="1"/>
  <c r="U177" i="1" s="1"/>
  <c r="O177" i="1"/>
  <c r="M177" i="1"/>
  <c r="R176" i="1"/>
  <c r="U176" i="1" s="1"/>
  <c r="O176" i="1"/>
  <c r="M176" i="1"/>
  <c r="R175" i="1"/>
  <c r="U175" i="1" s="1"/>
  <c r="O175" i="1"/>
  <c r="M175" i="1"/>
  <c r="R174" i="1"/>
  <c r="U174" i="1" s="1"/>
  <c r="O174" i="1"/>
  <c r="M174" i="1"/>
  <c r="R173" i="1"/>
  <c r="U173" i="1" s="1"/>
  <c r="O173" i="1"/>
  <c r="M173" i="1"/>
  <c r="R172" i="1"/>
  <c r="U172" i="1" s="1"/>
  <c r="O172" i="1"/>
  <c r="M172" i="1"/>
  <c r="R171" i="1"/>
  <c r="U171" i="1" s="1"/>
  <c r="O171" i="1"/>
  <c r="M171" i="1"/>
  <c r="R170" i="1"/>
  <c r="U170" i="1" s="1"/>
  <c r="O170" i="1"/>
  <c r="M170" i="1"/>
  <c r="R169" i="1"/>
  <c r="U169" i="1" s="1"/>
  <c r="O169" i="1"/>
  <c r="M169" i="1"/>
  <c r="R168" i="1"/>
  <c r="U168" i="1" s="1"/>
  <c r="O168" i="1"/>
  <c r="M168" i="1"/>
  <c r="R167" i="1"/>
  <c r="U167" i="1" s="1"/>
  <c r="O167" i="1"/>
  <c r="M167" i="1"/>
  <c r="R166" i="1"/>
  <c r="U166" i="1" s="1"/>
  <c r="O166" i="1"/>
  <c r="M166" i="1"/>
  <c r="R165" i="1"/>
  <c r="U165" i="1" s="1"/>
  <c r="O165" i="1"/>
  <c r="M165" i="1"/>
  <c r="R164" i="1"/>
  <c r="U164" i="1" s="1"/>
  <c r="O164" i="1"/>
  <c r="M164" i="1"/>
  <c r="R163" i="1"/>
  <c r="U163" i="1" s="1"/>
  <c r="O163" i="1"/>
  <c r="M163" i="1"/>
  <c r="R162" i="1"/>
  <c r="U162" i="1" s="1"/>
  <c r="O162" i="1"/>
  <c r="M162" i="1"/>
  <c r="R161" i="1"/>
  <c r="U161" i="1" s="1"/>
  <c r="O161" i="1"/>
  <c r="M161" i="1"/>
  <c r="R160" i="1"/>
  <c r="U160" i="1" s="1"/>
  <c r="O160" i="1"/>
  <c r="M160" i="1"/>
  <c r="R159" i="1"/>
  <c r="U159" i="1" s="1"/>
  <c r="O159" i="1"/>
  <c r="M159" i="1"/>
  <c r="R158" i="1"/>
  <c r="U158" i="1" s="1"/>
  <c r="O158" i="1"/>
  <c r="M158" i="1"/>
  <c r="R157" i="1"/>
  <c r="U157" i="1" s="1"/>
  <c r="O157" i="1"/>
  <c r="M157" i="1"/>
  <c r="R156" i="1"/>
  <c r="U156" i="1" s="1"/>
  <c r="O156" i="1"/>
  <c r="M156" i="1"/>
  <c r="R155" i="1"/>
  <c r="U155" i="1" s="1"/>
  <c r="O155" i="1"/>
  <c r="M155" i="1"/>
  <c r="R154" i="1"/>
  <c r="U154" i="1" s="1"/>
  <c r="O154" i="1"/>
  <c r="M154" i="1"/>
  <c r="R153" i="1"/>
  <c r="U153" i="1" s="1"/>
  <c r="O153" i="1"/>
  <c r="M153" i="1"/>
  <c r="R152" i="1"/>
  <c r="U152" i="1" s="1"/>
  <c r="O152" i="1"/>
  <c r="M152" i="1"/>
  <c r="R151" i="1"/>
  <c r="U151" i="1" s="1"/>
  <c r="O151" i="1"/>
  <c r="M151" i="1"/>
  <c r="R150" i="1"/>
  <c r="U150" i="1" s="1"/>
  <c r="O150" i="1"/>
  <c r="M150" i="1"/>
  <c r="R149" i="1"/>
  <c r="U149" i="1" s="1"/>
  <c r="O149" i="1"/>
  <c r="M149" i="1"/>
  <c r="R148" i="1"/>
  <c r="U148" i="1" s="1"/>
  <c r="O148" i="1"/>
  <c r="M148" i="1"/>
  <c r="R147" i="1"/>
  <c r="U147" i="1" s="1"/>
  <c r="O147" i="1"/>
  <c r="M147" i="1"/>
  <c r="R146" i="1"/>
  <c r="U146" i="1" s="1"/>
  <c r="O146" i="1"/>
  <c r="M146" i="1"/>
  <c r="R145" i="1"/>
  <c r="U145" i="1" s="1"/>
  <c r="O145" i="1"/>
  <c r="M145" i="1"/>
  <c r="R144" i="1"/>
  <c r="U144" i="1" s="1"/>
  <c r="O144" i="1"/>
  <c r="M144" i="1"/>
  <c r="R143" i="1"/>
  <c r="U143" i="1" s="1"/>
  <c r="O143" i="1"/>
  <c r="M143" i="1"/>
  <c r="R142" i="1"/>
  <c r="U142" i="1" s="1"/>
  <c r="O142" i="1"/>
  <c r="M142" i="1"/>
  <c r="R141" i="1"/>
  <c r="U141" i="1" s="1"/>
  <c r="O141" i="1"/>
  <c r="M141" i="1"/>
  <c r="R140" i="1"/>
  <c r="U140" i="1" s="1"/>
  <c r="O140" i="1"/>
  <c r="M140" i="1"/>
  <c r="R139" i="1"/>
  <c r="U139" i="1" s="1"/>
  <c r="O139" i="1"/>
  <c r="M139" i="1"/>
  <c r="R138" i="1"/>
  <c r="U138" i="1" s="1"/>
  <c r="O138" i="1"/>
  <c r="M138" i="1"/>
  <c r="R137" i="1"/>
  <c r="U137" i="1" s="1"/>
  <c r="O137" i="1"/>
  <c r="M137" i="1"/>
  <c r="R136" i="1"/>
  <c r="U136" i="1" s="1"/>
  <c r="O136" i="1"/>
  <c r="M136" i="1"/>
  <c r="R135" i="1"/>
  <c r="U135" i="1" s="1"/>
  <c r="O135" i="1"/>
  <c r="M135" i="1"/>
  <c r="R134" i="1"/>
  <c r="U134" i="1" s="1"/>
  <c r="O134" i="1"/>
  <c r="M134" i="1"/>
  <c r="R133" i="1"/>
  <c r="U133" i="1" s="1"/>
  <c r="O133" i="1"/>
  <c r="M133" i="1"/>
  <c r="R132" i="1"/>
  <c r="U132" i="1" s="1"/>
  <c r="O132" i="1"/>
  <c r="M132" i="1"/>
  <c r="R131" i="1"/>
  <c r="U131" i="1" s="1"/>
  <c r="O131" i="1"/>
  <c r="M131" i="1"/>
  <c r="R130" i="1"/>
  <c r="U130" i="1" s="1"/>
  <c r="O130" i="1"/>
  <c r="M130" i="1"/>
  <c r="R129" i="1"/>
  <c r="U129" i="1" s="1"/>
  <c r="O129" i="1"/>
  <c r="M129" i="1"/>
  <c r="R128" i="1"/>
  <c r="U128" i="1" s="1"/>
  <c r="O128" i="1"/>
  <c r="M128" i="1"/>
  <c r="R127" i="1"/>
  <c r="U127" i="1" s="1"/>
  <c r="O127" i="1"/>
  <c r="M127" i="1"/>
  <c r="R126" i="1"/>
  <c r="U126" i="1" s="1"/>
  <c r="O126" i="1"/>
  <c r="M126" i="1"/>
  <c r="R125" i="1"/>
  <c r="U125" i="1" s="1"/>
  <c r="O125" i="1"/>
  <c r="M125" i="1"/>
  <c r="R124" i="1"/>
  <c r="U124" i="1" s="1"/>
  <c r="O124" i="1"/>
  <c r="M124" i="1"/>
  <c r="R123" i="1"/>
  <c r="U123" i="1" s="1"/>
  <c r="O123" i="1"/>
  <c r="M123" i="1"/>
  <c r="R122" i="1"/>
  <c r="U122" i="1" s="1"/>
  <c r="O122" i="1"/>
  <c r="M122" i="1"/>
  <c r="R121" i="1"/>
  <c r="U121" i="1" s="1"/>
  <c r="O121" i="1"/>
  <c r="M121" i="1"/>
  <c r="R120" i="1"/>
  <c r="U120" i="1" s="1"/>
  <c r="O120" i="1"/>
  <c r="M120" i="1"/>
  <c r="R119" i="1"/>
  <c r="U119" i="1" s="1"/>
  <c r="O119" i="1"/>
  <c r="M119" i="1"/>
  <c r="R118" i="1"/>
  <c r="U118" i="1" s="1"/>
  <c r="O118" i="1"/>
  <c r="M118" i="1"/>
  <c r="R117" i="1"/>
  <c r="U117" i="1" s="1"/>
  <c r="O117" i="1"/>
  <c r="M117" i="1"/>
  <c r="R116" i="1"/>
  <c r="U116" i="1" s="1"/>
  <c r="O116" i="1"/>
  <c r="M116" i="1"/>
  <c r="R115" i="1"/>
  <c r="U115" i="1" s="1"/>
  <c r="O115" i="1"/>
  <c r="M115" i="1"/>
  <c r="R114" i="1"/>
  <c r="U114" i="1" s="1"/>
  <c r="O114" i="1"/>
  <c r="M114" i="1"/>
  <c r="R113" i="1"/>
  <c r="U113" i="1" s="1"/>
  <c r="O113" i="1"/>
  <c r="M113" i="1"/>
  <c r="R112" i="1"/>
  <c r="U112" i="1" s="1"/>
  <c r="O112" i="1"/>
  <c r="M112" i="1"/>
  <c r="R111" i="1"/>
  <c r="U111" i="1" s="1"/>
  <c r="O111" i="1"/>
  <c r="M111" i="1"/>
  <c r="R110" i="1"/>
  <c r="U110" i="1" s="1"/>
  <c r="O110" i="1"/>
  <c r="M110" i="1"/>
  <c r="R109" i="1"/>
  <c r="U109" i="1" s="1"/>
  <c r="O109" i="1"/>
  <c r="M109" i="1"/>
  <c r="R108" i="1"/>
  <c r="U108" i="1" s="1"/>
  <c r="O108" i="1"/>
  <c r="M108" i="1"/>
  <c r="R107" i="1"/>
  <c r="U107" i="1" s="1"/>
  <c r="O107" i="1"/>
  <c r="M107" i="1"/>
  <c r="R106" i="1"/>
  <c r="U106" i="1" s="1"/>
  <c r="O106" i="1"/>
  <c r="M106" i="1"/>
  <c r="R105" i="1"/>
  <c r="U105" i="1" s="1"/>
  <c r="O105" i="1"/>
  <c r="M105" i="1"/>
  <c r="R104" i="1"/>
  <c r="U104" i="1" s="1"/>
  <c r="O104" i="1"/>
  <c r="M104" i="1"/>
  <c r="R103" i="1"/>
  <c r="U103" i="1" s="1"/>
  <c r="O103" i="1"/>
  <c r="M103" i="1"/>
  <c r="R102" i="1"/>
  <c r="U102" i="1" s="1"/>
  <c r="O102" i="1"/>
  <c r="M102" i="1"/>
  <c r="R101" i="1"/>
  <c r="U101" i="1" s="1"/>
  <c r="O101" i="1"/>
  <c r="M101" i="1"/>
  <c r="R100" i="1"/>
  <c r="U100" i="1" s="1"/>
  <c r="O100" i="1"/>
  <c r="M100" i="1"/>
  <c r="R99" i="1"/>
  <c r="U99" i="1" s="1"/>
  <c r="O99" i="1"/>
  <c r="M99" i="1"/>
  <c r="R98" i="1"/>
  <c r="U98" i="1" s="1"/>
  <c r="O98" i="1"/>
  <c r="M98" i="1"/>
  <c r="R97" i="1"/>
  <c r="U97" i="1" s="1"/>
  <c r="O97" i="1"/>
  <c r="M97" i="1"/>
  <c r="R96" i="1"/>
  <c r="U96" i="1" s="1"/>
  <c r="O96" i="1"/>
  <c r="M96" i="1"/>
  <c r="R95" i="1"/>
  <c r="U95" i="1" s="1"/>
  <c r="O95" i="1"/>
  <c r="M95" i="1"/>
  <c r="R94" i="1"/>
  <c r="U94" i="1" s="1"/>
  <c r="O94" i="1"/>
  <c r="M94" i="1"/>
  <c r="R93" i="1"/>
  <c r="U93" i="1" s="1"/>
  <c r="O93" i="1"/>
  <c r="M93" i="1"/>
  <c r="R92" i="1"/>
  <c r="U92" i="1" s="1"/>
  <c r="O92" i="1"/>
  <c r="M92" i="1"/>
  <c r="R91" i="1"/>
  <c r="U91" i="1" s="1"/>
  <c r="O91" i="1"/>
  <c r="M91" i="1"/>
  <c r="R90" i="1"/>
  <c r="U90" i="1" s="1"/>
  <c r="O90" i="1"/>
  <c r="M90" i="1"/>
  <c r="R89" i="1"/>
  <c r="U89" i="1" s="1"/>
  <c r="O89" i="1"/>
  <c r="M89" i="1"/>
  <c r="R88" i="1"/>
  <c r="U88" i="1" s="1"/>
  <c r="O88" i="1"/>
  <c r="M88" i="1"/>
  <c r="R87" i="1"/>
  <c r="U87" i="1" s="1"/>
  <c r="O87" i="1"/>
  <c r="M87" i="1"/>
  <c r="R86" i="1"/>
  <c r="U86" i="1" s="1"/>
  <c r="O86" i="1"/>
  <c r="M86" i="1"/>
  <c r="R85" i="1"/>
  <c r="U85" i="1" s="1"/>
  <c r="O85" i="1"/>
  <c r="M85" i="1"/>
  <c r="R84" i="1"/>
  <c r="U84" i="1" s="1"/>
  <c r="O84" i="1"/>
  <c r="M84" i="1"/>
  <c r="R83" i="1"/>
  <c r="U83" i="1" s="1"/>
  <c r="O83" i="1"/>
  <c r="M83" i="1"/>
  <c r="R82" i="1"/>
  <c r="U82" i="1" s="1"/>
  <c r="O82" i="1"/>
  <c r="M82" i="1"/>
  <c r="R81" i="1"/>
  <c r="U81" i="1" s="1"/>
  <c r="O81" i="1"/>
  <c r="M81" i="1"/>
  <c r="R80" i="1"/>
  <c r="U80" i="1" s="1"/>
  <c r="O80" i="1"/>
  <c r="M80" i="1"/>
  <c r="R79" i="1"/>
  <c r="U79" i="1" s="1"/>
  <c r="O79" i="1"/>
  <c r="M79" i="1"/>
  <c r="R78" i="1"/>
  <c r="U78" i="1" s="1"/>
  <c r="O78" i="1"/>
  <c r="M78" i="1"/>
  <c r="R77" i="1"/>
  <c r="U77" i="1" s="1"/>
  <c r="O77" i="1"/>
  <c r="M77" i="1"/>
  <c r="R76" i="1"/>
  <c r="U76" i="1" s="1"/>
  <c r="O76" i="1"/>
  <c r="M76" i="1"/>
  <c r="R75" i="1"/>
  <c r="U75" i="1" s="1"/>
  <c r="O75" i="1"/>
  <c r="M75" i="1"/>
  <c r="R74" i="1"/>
  <c r="U74" i="1" s="1"/>
  <c r="O74" i="1"/>
  <c r="M74" i="1"/>
  <c r="R73" i="1"/>
  <c r="U73" i="1" s="1"/>
  <c r="O73" i="1"/>
  <c r="M73" i="1"/>
  <c r="R72" i="1"/>
  <c r="U72" i="1" s="1"/>
  <c r="O72" i="1"/>
  <c r="M72" i="1"/>
  <c r="R71" i="1"/>
  <c r="U71" i="1" s="1"/>
  <c r="O71" i="1"/>
  <c r="M71" i="1"/>
  <c r="R70" i="1"/>
  <c r="U70" i="1" s="1"/>
  <c r="O70" i="1"/>
  <c r="M70" i="1"/>
  <c r="R69" i="1"/>
  <c r="U69" i="1" s="1"/>
  <c r="O69" i="1"/>
  <c r="M69" i="1"/>
  <c r="R68" i="1"/>
  <c r="U68" i="1" s="1"/>
  <c r="O68" i="1"/>
  <c r="M68" i="1"/>
  <c r="R67" i="1"/>
  <c r="U67" i="1" s="1"/>
  <c r="O67" i="1"/>
  <c r="M67" i="1"/>
  <c r="R66" i="1"/>
  <c r="U66" i="1" s="1"/>
  <c r="O66" i="1"/>
  <c r="M66" i="1"/>
  <c r="R65" i="1"/>
  <c r="U65" i="1" s="1"/>
  <c r="O65" i="1"/>
  <c r="M65" i="1"/>
  <c r="R64" i="1"/>
  <c r="U64" i="1" s="1"/>
  <c r="O64" i="1"/>
  <c r="M64" i="1"/>
  <c r="R63" i="1"/>
  <c r="U63" i="1" s="1"/>
  <c r="O63" i="1"/>
  <c r="M63" i="1"/>
  <c r="R62" i="1"/>
  <c r="U62" i="1" s="1"/>
  <c r="O62" i="1"/>
  <c r="M62" i="1"/>
  <c r="R61" i="1"/>
  <c r="U61" i="1" s="1"/>
  <c r="O61" i="1"/>
  <c r="M61" i="1"/>
  <c r="R60" i="1"/>
  <c r="U60" i="1" s="1"/>
  <c r="O60" i="1"/>
  <c r="M60" i="1"/>
  <c r="R59" i="1"/>
  <c r="U59" i="1" s="1"/>
  <c r="O59" i="1"/>
  <c r="M59" i="1"/>
  <c r="R58" i="1"/>
  <c r="U58" i="1" s="1"/>
  <c r="O58" i="1"/>
  <c r="M58" i="1"/>
  <c r="R57" i="1"/>
  <c r="U57" i="1" s="1"/>
  <c r="O57" i="1"/>
  <c r="M57" i="1"/>
  <c r="R56" i="1"/>
  <c r="U56" i="1" s="1"/>
  <c r="O56" i="1"/>
  <c r="M56" i="1"/>
  <c r="R55" i="1"/>
  <c r="U55" i="1" s="1"/>
  <c r="O55" i="1"/>
  <c r="M55" i="1"/>
  <c r="R54" i="1"/>
  <c r="U54" i="1" s="1"/>
  <c r="O54" i="1"/>
  <c r="M54" i="1"/>
  <c r="R53" i="1"/>
  <c r="U53" i="1" s="1"/>
  <c r="O53" i="1"/>
  <c r="M53" i="1"/>
  <c r="R52" i="1"/>
  <c r="U52" i="1" s="1"/>
  <c r="O52" i="1"/>
  <c r="M52" i="1"/>
  <c r="R51" i="1"/>
  <c r="U51" i="1" s="1"/>
  <c r="O51" i="1"/>
  <c r="M51" i="1"/>
  <c r="R50" i="1"/>
  <c r="U50" i="1" s="1"/>
  <c r="O50" i="1"/>
  <c r="M50" i="1"/>
  <c r="R49" i="1"/>
  <c r="U49" i="1" s="1"/>
  <c r="O49" i="1"/>
  <c r="M49" i="1"/>
  <c r="R48" i="1"/>
  <c r="U48" i="1" s="1"/>
  <c r="O48" i="1"/>
  <c r="M48" i="1"/>
  <c r="R47" i="1"/>
  <c r="U47" i="1" s="1"/>
  <c r="O47" i="1"/>
  <c r="M47" i="1"/>
  <c r="R46" i="1"/>
  <c r="U46" i="1" s="1"/>
  <c r="O46" i="1"/>
  <c r="M46" i="1"/>
  <c r="R45" i="1"/>
  <c r="U45" i="1" s="1"/>
  <c r="O45" i="1"/>
  <c r="M45" i="1"/>
  <c r="R44" i="1"/>
  <c r="U44" i="1" s="1"/>
  <c r="O44" i="1"/>
  <c r="M44" i="1"/>
  <c r="R43" i="1"/>
  <c r="U43" i="1" s="1"/>
  <c r="O43" i="1"/>
  <c r="M43" i="1"/>
  <c r="R42" i="1"/>
  <c r="U42" i="1" s="1"/>
  <c r="O42" i="1"/>
  <c r="M42" i="1"/>
  <c r="R41" i="1"/>
  <c r="U41" i="1" s="1"/>
  <c r="O41" i="1"/>
  <c r="M41" i="1"/>
  <c r="R40" i="1"/>
  <c r="U40" i="1" s="1"/>
  <c r="O40" i="1"/>
  <c r="M40" i="1"/>
  <c r="R39" i="1"/>
  <c r="U39" i="1" s="1"/>
  <c r="O39" i="1"/>
  <c r="M39" i="1"/>
  <c r="R38" i="1"/>
  <c r="U38" i="1" s="1"/>
  <c r="O38" i="1"/>
  <c r="M38" i="1"/>
  <c r="R37" i="1"/>
  <c r="U37" i="1" s="1"/>
  <c r="O37" i="1"/>
  <c r="M37" i="1"/>
  <c r="R36" i="1"/>
  <c r="U36" i="1" s="1"/>
  <c r="O36" i="1"/>
  <c r="M36" i="1"/>
  <c r="R35" i="1"/>
  <c r="U35" i="1" s="1"/>
  <c r="O35" i="1"/>
  <c r="M35" i="1"/>
  <c r="R34" i="1"/>
  <c r="U34" i="1" s="1"/>
  <c r="O34" i="1"/>
  <c r="M34" i="1"/>
  <c r="R33" i="1"/>
  <c r="U33" i="1" s="1"/>
  <c r="O33" i="1"/>
  <c r="M33" i="1"/>
  <c r="R32" i="1"/>
  <c r="U32" i="1" s="1"/>
  <c r="O32" i="1"/>
  <c r="M32" i="1"/>
  <c r="R31" i="1"/>
  <c r="U31" i="1" s="1"/>
  <c r="O31" i="1"/>
  <c r="M31" i="1"/>
  <c r="R30" i="1"/>
  <c r="U30" i="1" s="1"/>
  <c r="O30" i="1"/>
  <c r="M30" i="1"/>
  <c r="R29" i="1"/>
  <c r="U29" i="1" s="1"/>
  <c r="O29" i="1"/>
  <c r="M29" i="1"/>
  <c r="R28" i="1"/>
  <c r="U28" i="1" s="1"/>
  <c r="O28" i="1"/>
  <c r="M28" i="1"/>
  <c r="R27" i="1"/>
  <c r="U27" i="1" s="1"/>
  <c r="O27" i="1"/>
  <c r="M27" i="1"/>
  <c r="R26" i="1"/>
  <c r="U26" i="1" s="1"/>
  <c r="O26" i="1"/>
  <c r="M26" i="1"/>
  <c r="R25" i="1"/>
  <c r="U25" i="1" s="1"/>
  <c r="O25" i="1"/>
  <c r="M25" i="1"/>
  <c r="R24" i="1"/>
  <c r="U24" i="1" s="1"/>
  <c r="O24" i="1"/>
  <c r="M24" i="1"/>
  <c r="R23" i="1"/>
  <c r="U23" i="1" s="1"/>
  <c r="O23" i="1"/>
  <c r="M23" i="1"/>
  <c r="R22" i="1"/>
  <c r="U22" i="1" s="1"/>
  <c r="O22" i="1"/>
  <c r="M22" i="1"/>
  <c r="R21" i="1"/>
  <c r="U21" i="1" s="1"/>
  <c r="O21" i="1"/>
  <c r="M21" i="1"/>
  <c r="R20" i="1"/>
  <c r="U20" i="1" s="1"/>
  <c r="O20" i="1"/>
  <c r="M20" i="1"/>
  <c r="R19" i="1"/>
  <c r="U19" i="1" s="1"/>
  <c r="O19" i="1"/>
  <c r="M19" i="1"/>
  <c r="R18" i="1"/>
  <c r="U18" i="1" s="1"/>
  <c r="O18" i="1"/>
  <c r="M18" i="1"/>
  <c r="R17" i="1"/>
  <c r="U17" i="1" s="1"/>
  <c r="O17" i="1"/>
  <c r="M17" i="1"/>
  <c r="R16" i="1"/>
  <c r="U16" i="1" s="1"/>
  <c r="O16" i="1"/>
  <c r="M16" i="1"/>
  <c r="R15" i="1"/>
  <c r="U15" i="1" s="1"/>
  <c r="O15" i="1"/>
  <c r="M15" i="1"/>
  <c r="R14" i="1"/>
  <c r="U14" i="1" s="1"/>
  <c r="O14" i="1"/>
  <c r="M14" i="1"/>
  <c r="R13" i="1"/>
  <c r="U13" i="1" s="1"/>
  <c r="O13" i="1"/>
  <c r="M13" i="1"/>
  <c r="R12" i="1"/>
  <c r="U12" i="1" s="1"/>
  <c r="O12" i="1"/>
  <c r="M12" i="1"/>
  <c r="R11" i="1"/>
  <c r="U11" i="1" s="1"/>
  <c r="O11" i="1"/>
  <c r="M11" i="1"/>
  <c r="R10" i="1"/>
  <c r="U10" i="1" s="1"/>
  <c r="O10" i="1"/>
  <c r="M10" i="1"/>
  <c r="R9" i="1"/>
  <c r="U9" i="1" s="1"/>
  <c r="O9" i="1"/>
  <c r="M9" i="1"/>
  <c r="R8" i="1"/>
  <c r="U8" i="1" s="1"/>
  <c r="O8" i="1"/>
  <c r="M8" i="1"/>
  <c r="R7" i="1"/>
  <c r="U7" i="1" s="1"/>
  <c r="O7" i="1"/>
  <c r="M7" i="1"/>
  <c r="R6" i="1"/>
  <c r="U6" i="1" s="1"/>
  <c r="O6" i="1"/>
  <c r="M6" i="1"/>
  <c r="R5" i="1"/>
  <c r="U5" i="1" s="1"/>
  <c r="O5" i="1"/>
  <c r="M5" i="1"/>
  <c r="R4" i="1"/>
  <c r="U4" i="1" s="1"/>
  <c r="O4" i="1"/>
  <c r="M4" i="1"/>
  <c r="R3" i="1"/>
  <c r="U3" i="1" s="1"/>
  <c r="O3" i="1"/>
  <c r="M3" i="1"/>
  <c r="G3" i="1"/>
  <c r="G4" i="1" s="1"/>
  <c r="G5" i="1" s="1"/>
  <c r="G6" i="1" s="1"/>
  <c r="G7" i="1" s="1"/>
  <c r="G8" i="1" s="1"/>
  <c r="G9" i="1" s="1"/>
  <c r="G10" i="1" s="1"/>
  <c r="G11" i="1" s="1"/>
  <c r="G12" i="1" s="1"/>
  <c r="G13" i="1" s="1"/>
  <c r="G14" i="1" s="1"/>
  <c r="G15" i="1" s="1"/>
  <c r="G16" i="1" s="1"/>
  <c r="G17" i="1" s="1"/>
  <c r="G18" i="1" s="1"/>
  <c r="G19" i="1" s="1"/>
  <c r="G20" i="1" s="1"/>
  <c r="G21" i="1" s="1"/>
  <c r="G22" i="1" s="1"/>
  <c r="G23" i="1" s="1"/>
  <c r="G24" i="1" s="1"/>
  <c r="G25" i="1" s="1"/>
  <c r="G26" i="1" s="1"/>
  <c r="G27" i="1" s="1"/>
  <c r="G28" i="1" s="1"/>
  <c r="G29" i="1" s="1"/>
  <c r="G30" i="1" s="1"/>
  <c r="G31" i="1" s="1"/>
  <c r="G32" i="1" s="1"/>
  <c r="G33" i="1" s="1"/>
  <c r="G34" i="1" s="1"/>
  <c r="G35" i="1" s="1"/>
  <c r="G36" i="1" s="1"/>
  <c r="G37" i="1" s="1"/>
  <c r="G38" i="1" s="1"/>
  <c r="G39" i="1" s="1"/>
  <c r="G40" i="1" s="1"/>
  <c r="G41" i="1" s="1"/>
  <c r="G42" i="1" s="1"/>
  <c r="G43" i="1" s="1"/>
  <c r="G44" i="1" s="1"/>
  <c r="G45" i="1" s="1"/>
  <c r="G46" i="1" s="1"/>
  <c r="G47" i="1" s="1"/>
  <c r="G48" i="1" s="1"/>
  <c r="G49" i="1" s="1"/>
  <c r="G50" i="1" s="1"/>
  <c r="G51" i="1" s="1"/>
  <c r="G52" i="1" s="1"/>
  <c r="G53" i="1" s="1"/>
  <c r="G54" i="1" s="1"/>
  <c r="G55" i="1" s="1"/>
  <c r="G56" i="1" s="1"/>
  <c r="G57" i="1" s="1"/>
  <c r="G58" i="1" s="1"/>
  <c r="G59" i="1" s="1"/>
  <c r="G60" i="1" s="1"/>
  <c r="G61" i="1" s="1"/>
  <c r="G62" i="1" s="1"/>
  <c r="G63" i="1" s="1"/>
  <c r="G64" i="1" s="1"/>
  <c r="G65" i="1" s="1"/>
  <c r="G66" i="1" s="1"/>
  <c r="G67" i="1" s="1"/>
  <c r="G68" i="1" s="1"/>
  <c r="G69" i="1" s="1"/>
  <c r="G70" i="1" s="1"/>
  <c r="G71" i="1" s="1"/>
  <c r="G72" i="1" s="1"/>
  <c r="G73" i="1" s="1"/>
  <c r="G74" i="1" s="1"/>
  <c r="G75" i="1" s="1"/>
  <c r="G76" i="1" s="1"/>
  <c r="G77" i="1" s="1"/>
  <c r="G78" i="1" s="1"/>
  <c r="G79" i="1" s="1"/>
  <c r="G80" i="1" s="1"/>
  <c r="G81" i="1" s="1"/>
  <c r="G82" i="1" s="1"/>
  <c r="G83" i="1" s="1"/>
  <c r="G84" i="1" s="1"/>
  <c r="G85" i="1" s="1"/>
  <c r="G86" i="1" s="1"/>
  <c r="G87" i="1" s="1"/>
  <c r="G88" i="1" s="1"/>
  <c r="G89" i="1" s="1"/>
  <c r="G90" i="1" s="1"/>
  <c r="G91" i="1" s="1"/>
  <c r="G92" i="1" s="1"/>
  <c r="G93" i="1" s="1"/>
  <c r="G94" i="1" s="1"/>
  <c r="G95" i="1" s="1"/>
  <c r="G96" i="1" s="1"/>
  <c r="G97" i="1" s="1"/>
  <c r="G98" i="1" s="1"/>
  <c r="G99" i="1" s="1"/>
  <c r="G100" i="1" s="1"/>
  <c r="G101" i="1" s="1"/>
  <c r="G102" i="1" s="1"/>
  <c r="G103" i="1" s="1"/>
  <c r="G104" i="1" s="1"/>
  <c r="G105" i="1" s="1"/>
  <c r="G106" i="1" s="1"/>
  <c r="G107" i="1" s="1"/>
  <c r="G108" i="1" s="1"/>
  <c r="G109" i="1" s="1"/>
  <c r="G110" i="1" s="1"/>
  <c r="G111" i="1" s="1"/>
  <c r="G112" i="1" s="1"/>
  <c r="G113" i="1" s="1"/>
  <c r="G114" i="1" s="1"/>
  <c r="G115" i="1" s="1"/>
  <c r="G116" i="1" s="1"/>
  <c r="G117" i="1" s="1"/>
  <c r="G118" i="1" s="1"/>
  <c r="G119" i="1" s="1"/>
  <c r="G120" i="1" s="1"/>
  <c r="G121" i="1" s="1"/>
  <c r="G122" i="1" s="1"/>
  <c r="G123" i="1" s="1"/>
  <c r="G124" i="1" s="1"/>
  <c r="G125" i="1" s="1"/>
  <c r="G126" i="1" s="1"/>
  <c r="G127" i="1" s="1"/>
  <c r="G128" i="1" s="1"/>
  <c r="G129" i="1" s="1"/>
  <c r="G130" i="1" s="1"/>
  <c r="G131" i="1" s="1"/>
  <c r="G132" i="1" s="1"/>
  <c r="G133" i="1" s="1"/>
  <c r="G134" i="1" s="1"/>
  <c r="G135" i="1" s="1"/>
  <c r="G136" i="1" s="1"/>
  <c r="G137" i="1" s="1"/>
  <c r="G138" i="1" s="1"/>
  <c r="G139" i="1" s="1"/>
  <c r="G140" i="1" s="1"/>
  <c r="G141" i="1" s="1"/>
  <c r="G142" i="1" s="1"/>
  <c r="G143" i="1" s="1"/>
  <c r="G144" i="1" s="1"/>
  <c r="G145" i="1" s="1"/>
  <c r="G146" i="1" s="1"/>
  <c r="G147" i="1" s="1"/>
  <c r="G148" i="1" s="1"/>
  <c r="G149" i="1" s="1"/>
  <c r="G150" i="1" s="1"/>
  <c r="G151" i="1" s="1"/>
  <c r="G152" i="1" s="1"/>
  <c r="G153" i="1" s="1"/>
  <c r="G154" i="1" s="1"/>
  <c r="G155" i="1" s="1"/>
  <c r="G156" i="1" s="1"/>
  <c r="G157" i="1" s="1"/>
  <c r="G158" i="1" s="1"/>
  <c r="G159" i="1" s="1"/>
  <c r="G160" i="1" s="1"/>
  <c r="G161" i="1" s="1"/>
  <c r="G162" i="1" s="1"/>
  <c r="G163" i="1" s="1"/>
  <c r="G164" i="1" s="1"/>
  <c r="G165" i="1" s="1"/>
  <c r="G166" i="1" s="1"/>
  <c r="G167" i="1" s="1"/>
  <c r="G168" i="1" s="1"/>
  <c r="G169" i="1" s="1"/>
  <c r="G170" i="1" s="1"/>
  <c r="G171" i="1" s="1"/>
  <c r="G172" i="1" s="1"/>
  <c r="G173" i="1" s="1"/>
  <c r="G174" i="1" s="1"/>
  <c r="G175" i="1" s="1"/>
  <c r="G176" i="1" s="1"/>
  <c r="G177" i="1" s="1"/>
  <c r="G178" i="1" s="1"/>
  <c r="G179" i="1" s="1"/>
  <c r="G180" i="1" s="1"/>
  <c r="G181" i="1" s="1"/>
  <c r="G182" i="1" s="1"/>
  <c r="G183" i="1" s="1"/>
  <c r="G184" i="1" s="1"/>
  <c r="G185" i="1" s="1"/>
  <c r="G186" i="1" s="1"/>
  <c r="G187" i="1" s="1"/>
  <c r="G188" i="1" s="1"/>
  <c r="G189" i="1" s="1"/>
  <c r="G190" i="1" s="1"/>
  <c r="G191" i="1" s="1"/>
  <c r="G192" i="1" s="1"/>
  <c r="G193" i="1" s="1"/>
  <c r="G194" i="1" s="1"/>
  <c r="G195" i="1" s="1"/>
  <c r="G196" i="1" s="1"/>
  <c r="G197" i="1" s="1"/>
  <c r="G198" i="1" s="1"/>
  <c r="G199" i="1" s="1"/>
  <c r="G200" i="1" s="1"/>
  <c r="G201" i="1" s="1"/>
  <c r="G202" i="1" s="1"/>
  <c r="G203" i="1" s="1"/>
  <c r="G204" i="1" s="1"/>
  <c r="G205" i="1" s="1"/>
  <c r="G206" i="1" s="1"/>
  <c r="G207" i="1" s="1"/>
  <c r="G208" i="1" s="1"/>
  <c r="G209" i="1" s="1"/>
  <c r="G210" i="1" s="1"/>
  <c r="G211" i="1" s="1"/>
  <c r="G212" i="1" s="1"/>
  <c r="G213" i="1" s="1"/>
  <c r="G214" i="1" s="1"/>
  <c r="G215" i="1" s="1"/>
  <c r="G216" i="1" s="1"/>
  <c r="G217" i="1" s="1"/>
  <c r="G218" i="1" s="1"/>
  <c r="G219" i="1" s="1"/>
  <c r="G220" i="1" s="1"/>
  <c r="G221" i="1" s="1"/>
  <c r="G222" i="1" s="1"/>
  <c r="G223" i="1" s="1"/>
  <c r="G224" i="1" s="1"/>
  <c r="G225" i="1" s="1"/>
  <c r="G226" i="1" s="1"/>
  <c r="G227" i="1" s="1"/>
  <c r="G228" i="1" s="1"/>
  <c r="G229" i="1" s="1"/>
  <c r="G230" i="1" s="1"/>
  <c r="G231" i="1" s="1"/>
  <c r="G232" i="1" s="1"/>
  <c r="G233" i="1" s="1"/>
  <c r="G234" i="1" s="1"/>
  <c r="G235" i="1" s="1"/>
  <c r="G236" i="1" s="1"/>
  <c r="G237" i="1" s="1"/>
  <c r="G238" i="1" s="1"/>
  <c r="G239" i="1" s="1"/>
  <c r="G240" i="1" s="1"/>
  <c r="G241" i="1" s="1"/>
  <c r="G242" i="1" s="1"/>
  <c r="G243" i="1" s="1"/>
  <c r="G244" i="1" s="1"/>
  <c r="G245" i="1" s="1"/>
  <c r="G246" i="1" s="1"/>
  <c r="G247" i="1" s="1"/>
  <c r="G248" i="1" s="1"/>
  <c r="G249" i="1" s="1"/>
  <c r="G250" i="1" s="1"/>
  <c r="G251" i="1" s="1"/>
  <c r="G252" i="1" s="1"/>
  <c r="G253" i="1" s="1"/>
  <c r="G254" i="1" s="1"/>
  <c r="G255" i="1" s="1"/>
  <c r="G256" i="1" s="1"/>
  <c r="G257" i="1" s="1"/>
  <c r="G258" i="1" s="1"/>
  <c r="G259" i="1" s="1"/>
  <c r="G260" i="1" s="1"/>
  <c r="G261" i="1" s="1"/>
  <c r="G262" i="1" s="1"/>
  <c r="G263" i="1" s="1"/>
  <c r="G264" i="1" s="1"/>
  <c r="G265" i="1" s="1"/>
  <c r="G266" i="1" s="1"/>
  <c r="G267" i="1" s="1"/>
  <c r="G268" i="1" s="1"/>
  <c r="G269" i="1" s="1"/>
  <c r="G270" i="1" s="1"/>
  <c r="G271" i="1" s="1"/>
  <c r="G272" i="1" s="1"/>
  <c r="G273" i="1" s="1"/>
  <c r="G274" i="1" s="1"/>
  <c r="G275" i="1" s="1"/>
  <c r="G276" i="1" s="1"/>
  <c r="G277" i="1" s="1"/>
  <c r="G278" i="1" s="1"/>
  <c r="G279" i="1" s="1"/>
  <c r="G280" i="1" s="1"/>
  <c r="G281" i="1" s="1"/>
  <c r="G282" i="1" s="1"/>
  <c r="G283" i="1" s="1"/>
  <c r="G284" i="1" s="1"/>
  <c r="G285" i="1" s="1"/>
  <c r="G286" i="1" s="1"/>
  <c r="G287" i="1" s="1"/>
  <c r="G288" i="1" s="1"/>
  <c r="G289" i="1" s="1"/>
  <c r="G290" i="1" s="1"/>
  <c r="G291" i="1" s="1"/>
  <c r="G292" i="1" s="1"/>
  <c r="G293" i="1" s="1"/>
  <c r="G294" i="1" s="1"/>
  <c r="G295" i="1" s="1"/>
  <c r="G296" i="1" s="1"/>
  <c r="G297" i="1" s="1"/>
  <c r="G298" i="1" s="1"/>
  <c r="G299" i="1" s="1"/>
  <c r="G300" i="1" s="1"/>
  <c r="G301" i="1" s="1"/>
  <c r="G302" i="1" s="1"/>
  <c r="G303" i="1" s="1"/>
  <c r="G304" i="1" s="1"/>
  <c r="G305" i="1" s="1"/>
  <c r="G306" i="1" s="1"/>
  <c r="G307" i="1" s="1"/>
  <c r="G308" i="1" s="1"/>
  <c r="G309" i="1" s="1"/>
  <c r="G310" i="1" s="1"/>
  <c r="G311" i="1" s="1"/>
  <c r="G312" i="1" s="1"/>
  <c r="G313" i="1" s="1"/>
  <c r="G314" i="1" s="1"/>
  <c r="G315" i="1" s="1"/>
  <c r="G316" i="1" s="1"/>
  <c r="G317" i="1" s="1"/>
  <c r="G318" i="1" s="1"/>
  <c r="G319" i="1" s="1"/>
  <c r="G320" i="1" s="1"/>
  <c r="G321" i="1" s="1"/>
  <c r="G322" i="1" s="1"/>
  <c r="G323" i="1" s="1"/>
  <c r="G324" i="1" s="1"/>
  <c r="G325" i="1" s="1"/>
  <c r="G326" i="1" s="1"/>
  <c r="G327" i="1" s="1"/>
  <c r="G328" i="1" s="1"/>
  <c r="G329" i="1" s="1"/>
  <c r="G330" i="1" s="1"/>
  <c r="G331" i="1" s="1"/>
  <c r="G332" i="1" s="1"/>
  <c r="G333" i="1" s="1"/>
  <c r="G334" i="1" s="1"/>
  <c r="G335" i="1" s="1"/>
  <c r="G336" i="1" s="1"/>
  <c r="G337" i="1" s="1"/>
  <c r="G338" i="1" s="1"/>
  <c r="G339" i="1" s="1"/>
  <c r="G340" i="1" s="1"/>
  <c r="G341" i="1" s="1"/>
  <c r="G342" i="1" s="1"/>
  <c r="G343" i="1" s="1"/>
  <c r="G344" i="1" s="1"/>
  <c r="G345" i="1" s="1"/>
  <c r="G346" i="1" s="1"/>
  <c r="G347" i="1" s="1"/>
  <c r="G348" i="1" s="1"/>
  <c r="G349" i="1" s="1"/>
  <c r="G350" i="1" s="1"/>
  <c r="G351" i="1" s="1"/>
  <c r="G352" i="1" s="1"/>
  <c r="G353" i="1" s="1"/>
  <c r="G354" i="1" s="1"/>
  <c r="G355" i="1" s="1"/>
  <c r="G356" i="1" s="1"/>
  <c r="G357" i="1" s="1"/>
  <c r="G358" i="1" s="1"/>
  <c r="G359" i="1" s="1"/>
  <c r="G360" i="1" s="1"/>
  <c r="G361" i="1" s="1"/>
  <c r="G362" i="1" s="1"/>
  <c r="G363" i="1" s="1"/>
  <c r="G364" i="1" s="1"/>
  <c r="G365" i="1" s="1"/>
  <c r="G366" i="1" s="1"/>
  <c r="G367" i="1" s="1"/>
  <c r="G368" i="1" s="1"/>
  <c r="G369" i="1" s="1"/>
  <c r="G370" i="1" s="1"/>
  <c r="G371" i="1" s="1"/>
  <c r="G372" i="1" s="1"/>
  <c r="G373" i="1" s="1"/>
  <c r="G374" i="1" s="1"/>
  <c r="G375" i="1" s="1"/>
  <c r="G376" i="1" s="1"/>
  <c r="G377" i="1" s="1"/>
  <c r="G378" i="1" s="1"/>
  <c r="G379" i="1" s="1"/>
  <c r="G380" i="1" s="1"/>
  <c r="G381" i="1" s="1"/>
  <c r="G382" i="1" s="1"/>
  <c r="G383" i="1" s="1"/>
  <c r="G384" i="1" s="1"/>
  <c r="G385" i="1" s="1"/>
  <c r="G386" i="1" s="1"/>
  <c r="G387" i="1" s="1"/>
  <c r="G388" i="1" s="1"/>
  <c r="G389" i="1" s="1"/>
  <c r="G390" i="1" s="1"/>
  <c r="G391" i="1" s="1"/>
  <c r="G392" i="1" s="1"/>
  <c r="G393" i="1" s="1"/>
  <c r="G394" i="1" s="1"/>
  <c r="G395" i="1" s="1"/>
  <c r="G396" i="1" s="1"/>
  <c r="G397" i="1" s="1"/>
  <c r="G398" i="1" s="1"/>
  <c r="G399" i="1" s="1"/>
  <c r="G400" i="1" s="1"/>
  <c r="G401" i="1" s="1"/>
  <c r="G402" i="1" s="1"/>
  <c r="G403" i="1" s="1"/>
  <c r="G404" i="1" s="1"/>
  <c r="G405" i="1" s="1"/>
  <c r="G406" i="1" s="1"/>
  <c r="G407" i="1" s="1"/>
  <c r="G408" i="1" s="1"/>
  <c r="G409" i="1" s="1"/>
  <c r="G410" i="1" s="1"/>
  <c r="G411" i="1" s="1"/>
  <c r="G412" i="1" s="1"/>
  <c r="G413" i="1" s="1"/>
  <c r="G414" i="1" s="1"/>
  <c r="G415" i="1" s="1"/>
  <c r="G416" i="1" s="1"/>
  <c r="G417" i="1" s="1"/>
  <c r="G418" i="1" s="1"/>
  <c r="G419" i="1" s="1"/>
  <c r="G420" i="1" s="1"/>
  <c r="G421" i="1" s="1"/>
  <c r="G422" i="1" s="1"/>
  <c r="G423" i="1" s="1"/>
  <c r="G424" i="1" s="1"/>
  <c r="G425" i="1" s="1"/>
  <c r="G426" i="1" s="1"/>
  <c r="G427" i="1" s="1"/>
  <c r="G428" i="1" s="1"/>
  <c r="G429" i="1" s="1"/>
  <c r="G430" i="1" s="1"/>
  <c r="G431" i="1" s="1"/>
  <c r="G432" i="1" s="1"/>
  <c r="G433" i="1" s="1"/>
  <c r="G434" i="1" s="1"/>
  <c r="G435" i="1" s="1"/>
  <c r="G436" i="1" s="1"/>
  <c r="G437" i="1" s="1"/>
  <c r="G438" i="1" s="1"/>
  <c r="G439" i="1" s="1"/>
  <c r="G440" i="1" s="1"/>
  <c r="G441" i="1" s="1"/>
  <c r="G442" i="1" s="1"/>
  <c r="G443" i="1" s="1"/>
  <c r="G444" i="1" s="1"/>
  <c r="G445" i="1" s="1"/>
  <c r="G446" i="1" s="1"/>
  <c r="G447" i="1" s="1"/>
  <c r="G448" i="1" s="1"/>
  <c r="G449" i="1" s="1"/>
  <c r="G450" i="1" s="1"/>
  <c r="G451" i="1" s="1"/>
  <c r="G452" i="1" s="1"/>
  <c r="G453" i="1" s="1"/>
  <c r="G454" i="1" s="1"/>
  <c r="G455" i="1" s="1"/>
  <c r="G456" i="1" s="1"/>
  <c r="G457" i="1" s="1"/>
  <c r="G458" i="1" s="1"/>
  <c r="G459" i="1" s="1"/>
  <c r="G460" i="1" s="1"/>
  <c r="G461" i="1" s="1"/>
  <c r="G462" i="1" s="1"/>
  <c r="G463" i="1" s="1"/>
  <c r="G464" i="1" s="1"/>
  <c r="G465" i="1" s="1"/>
  <c r="G466" i="1" s="1"/>
  <c r="G467" i="1" s="1"/>
  <c r="G468" i="1" s="1"/>
  <c r="G469" i="1" s="1"/>
  <c r="G470" i="1" s="1"/>
  <c r="G471" i="1" s="1"/>
  <c r="G472" i="1" s="1"/>
  <c r="G473" i="1" s="1"/>
  <c r="G474" i="1" s="1"/>
  <c r="G475" i="1" s="1"/>
  <c r="G476" i="1" s="1"/>
  <c r="G477" i="1" s="1"/>
  <c r="G478" i="1" s="1"/>
  <c r="G479" i="1" s="1"/>
  <c r="G480" i="1" s="1"/>
  <c r="G481" i="1" s="1"/>
  <c r="G482" i="1" s="1"/>
  <c r="G483" i="1" s="1"/>
  <c r="G484" i="1" s="1"/>
  <c r="G485" i="1" s="1"/>
  <c r="G486" i="1" s="1"/>
  <c r="G487" i="1" s="1"/>
  <c r="G488" i="1" s="1"/>
  <c r="G489" i="1" s="1"/>
  <c r="G490" i="1" s="1"/>
  <c r="G491" i="1" s="1"/>
  <c r="G492" i="1" s="1"/>
  <c r="G493" i="1" s="1"/>
  <c r="G494" i="1" s="1"/>
  <c r="G495" i="1" s="1"/>
  <c r="G496" i="1" s="1"/>
  <c r="G497" i="1" s="1"/>
  <c r="G498" i="1" s="1"/>
  <c r="G499" i="1" s="1"/>
  <c r="G500" i="1" s="1"/>
  <c r="G501" i="1" s="1"/>
  <c r="G502" i="1" s="1"/>
  <c r="G503" i="1" s="1"/>
  <c r="G504" i="1" s="1"/>
  <c r="G505" i="1" s="1"/>
  <c r="G506" i="1" s="1"/>
  <c r="G507" i="1" s="1"/>
  <c r="G508" i="1" s="1"/>
  <c r="G509" i="1" s="1"/>
  <c r="G510" i="1" s="1"/>
  <c r="G511" i="1" s="1"/>
  <c r="G512" i="1" s="1"/>
  <c r="G513" i="1" s="1"/>
  <c r="G514" i="1" s="1"/>
  <c r="G515" i="1" s="1"/>
  <c r="G516" i="1" s="1"/>
  <c r="G517" i="1" s="1"/>
  <c r="G518" i="1" s="1"/>
  <c r="G519" i="1" s="1"/>
  <c r="G520" i="1" s="1"/>
  <c r="G521" i="1" s="1"/>
  <c r="G522" i="1" s="1"/>
  <c r="G523" i="1" s="1"/>
  <c r="G524" i="1" s="1"/>
  <c r="G525" i="1" s="1"/>
  <c r="G526" i="1" s="1"/>
  <c r="G527" i="1" s="1"/>
  <c r="G528" i="1" s="1"/>
  <c r="G529" i="1" s="1"/>
  <c r="G530" i="1" s="1"/>
  <c r="G531" i="1" s="1"/>
  <c r="G532" i="1" s="1"/>
  <c r="G533" i="1" s="1"/>
  <c r="G534" i="1" s="1"/>
  <c r="G535" i="1" s="1"/>
  <c r="G536" i="1" s="1"/>
  <c r="G537" i="1" s="1"/>
  <c r="G538" i="1" s="1"/>
  <c r="G539" i="1" s="1"/>
  <c r="G540" i="1" s="1"/>
  <c r="G541" i="1" s="1"/>
  <c r="G542" i="1" s="1"/>
  <c r="G543" i="1" s="1"/>
  <c r="G544" i="1" s="1"/>
  <c r="G545" i="1" s="1"/>
  <c r="G546" i="1" s="1"/>
  <c r="G547" i="1" s="1"/>
  <c r="G548" i="1" s="1"/>
  <c r="G549" i="1" s="1"/>
  <c r="G550" i="1" s="1"/>
  <c r="G551" i="1" s="1"/>
  <c r="G552" i="1" s="1"/>
  <c r="G553" i="1" s="1"/>
  <c r="G554" i="1" s="1"/>
  <c r="G555" i="1" s="1"/>
  <c r="G556" i="1" s="1"/>
  <c r="G557" i="1" s="1"/>
  <c r="G558" i="1" s="1"/>
  <c r="G559" i="1" s="1"/>
  <c r="G560" i="1" s="1"/>
  <c r="G561" i="1" s="1"/>
  <c r="G562" i="1" s="1"/>
  <c r="G563" i="1" s="1"/>
  <c r="G564" i="1" s="1"/>
  <c r="G565" i="1" s="1"/>
  <c r="G566" i="1" s="1"/>
  <c r="G567" i="1" s="1"/>
  <c r="G568" i="1" s="1"/>
  <c r="G569" i="1" s="1"/>
  <c r="G570" i="1" s="1"/>
  <c r="G571" i="1" s="1"/>
  <c r="G572" i="1" s="1"/>
  <c r="G573" i="1" s="1"/>
  <c r="G574" i="1" s="1"/>
  <c r="G575" i="1" s="1"/>
  <c r="G576" i="1" s="1"/>
  <c r="G577" i="1" s="1"/>
  <c r="G578" i="1" s="1"/>
  <c r="G579" i="1" s="1"/>
  <c r="G580" i="1" s="1"/>
  <c r="G581" i="1" s="1"/>
  <c r="G582" i="1" s="1"/>
  <c r="G583" i="1" s="1"/>
  <c r="G584" i="1" s="1"/>
  <c r="G585" i="1" s="1"/>
  <c r="G586" i="1" s="1"/>
  <c r="G587" i="1" s="1"/>
  <c r="G588" i="1" s="1"/>
  <c r="G589" i="1" s="1"/>
  <c r="G590" i="1" s="1"/>
  <c r="G591" i="1" s="1"/>
  <c r="G592" i="1" s="1"/>
  <c r="G593" i="1" s="1"/>
  <c r="G594" i="1" s="1"/>
  <c r="G595" i="1" s="1"/>
  <c r="G596" i="1" s="1"/>
  <c r="G597" i="1" s="1"/>
  <c r="G598" i="1" s="1"/>
  <c r="G599" i="1" s="1"/>
  <c r="G600" i="1" s="1"/>
  <c r="G601" i="1" s="1"/>
  <c r="G602" i="1" s="1"/>
  <c r="G603" i="1" s="1"/>
  <c r="G604" i="1" s="1"/>
  <c r="G605" i="1" s="1"/>
  <c r="G606" i="1" s="1"/>
  <c r="G607" i="1" s="1"/>
  <c r="G608" i="1" s="1"/>
  <c r="G609" i="1" s="1"/>
  <c r="G610" i="1" s="1"/>
  <c r="G611" i="1" s="1"/>
  <c r="G612" i="1" s="1"/>
  <c r="G613" i="1" s="1"/>
  <c r="G614" i="1" s="1"/>
  <c r="G615" i="1" s="1"/>
  <c r="G616" i="1" s="1"/>
  <c r="G617" i="1" s="1"/>
  <c r="G618" i="1" s="1"/>
  <c r="G619" i="1" s="1"/>
  <c r="G620" i="1" s="1"/>
  <c r="G621" i="1" s="1"/>
  <c r="G622" i="1" s="1"/>
  <c r="G623" i="1" s="1"/>
  <c r="G624" i="1" s="1"/>
  <c r="G625" i="1" s="1"/>
  <c r="G626" i="1" s="1"/>
  <c r="G627" i="1" s="1"/>
  <c r="G628" i="1" s="1"/>
  <c r="G629" i="1" s="1"/>
  <c r="G630" i="1" s="1"/>
  <c r="G631" i="1" s="1"/>
  <c r="G632" i="1" s="1"/>
  <c r="G633" i="1" s="1"/>
  <c r="G634" i="1" s="1"/>
  <c r="G635" i="1" s="1"/>
  <c r="G636" i="1" s="1"/>
  <c r="G637" i="1" s="1"/>
  <c r="G638" i="1" s="1"/>
  <c r="G639" i="1" s="1"/>
  <c r="G640" i="1" s="1"/>
  <c r="G641" i="1" s="1"/>
  <c r="G642" i="1" s="1"/>
  <c r="G643" i="1" s="1"/>
  <c r="G644" i="1" s="1"/>
  <c r="G645" i="1" s="1"/>
  <c r="G646" i="1" s="1"/>
  <c r="G647" i="1" s="1"/>
  <c r="G648" i="1" s="1"/>
  <c r="G649" i="1" s="1"/>
  <c r="G650" i="1" s="1"/>
  <c r="G651" i="1" s="1"/>
  <c r="G652" i="1" s="1"/>
  <c r="G653" i="1" s="1"/>
  <c r="G654" i="1" s="1"/>
  <c r="G655" i="1" s="1"/>
  <c r="G656" i="1" s="1"/>
  <c r="G657" i="1" s="1"/>
  <c r="G658" i="1" s="1"/>
  <c r="G659" i="1" s="1"/>
  <c r="G660" i="1" s="1"/>
  <c r="G661" i="1" s="1"/>
  <c r="G662" i="1" s="1"/>
  <c r="G663" i="1" s="1"/>
  <c r="G664" i="1" s="1"/>
  <c r="G665" i="1" s="1"/>
  <c r="G666" i="1" s="1"/>
  <c r="G667" i="1" s="1"/>
  <c r="G668" i="1" s="1"/>
  <c r="G669" i="1" s="1"/>
  <c r="G670" i="1" s="1"/>
  <c r="G671" i="1" s="1"/>
  <c r="G672" i="1" s="1"/>
  <c r="G673" i="1" s="1"/>
  <c r="G674" i="1" s="1"/>
  <c r="G675" i="1" s="1"/>
  <c r="G676" i="1" s="1"/>
  <c r="G677" i="1" s="1"/>
  <c r="G678" i="1" s="1"/>
  <c r="G679" i="1" s="1"/>
  <c r="G680" i="1" s="1"/>
  <c r="G681" i="1" s="1"/>
  <c r="G682" i="1" s="1"/>
  <c r="G683" i="1" s="1"/>
  <c r="G684" i="1" s="1"/>
  <c r="G685" i="1" s="1"/>
  <c r="G686" i="1" s="1"/>
  <c r="G687" i="1" s="1"/>
  <c r="G688" i="1" s="1"/>
  <c r="G689" i="1" s="1"/>
  <c r="G690" i="1" s="1"/>
  <c r="G691" i="1" s="1"/>
  <c r="G692" i="1" s="1"/>
  <c r="G693" i="1" s="1"/>
  <c r="G694" i="1" s="1"/>
  <c r="G695" i="1" s="1"/>
  <c r="G696" i="1" s="1"/>
  <c r="G697" i="1" s="1"/>
  <c r="G698" i="1" s="1"/>
  <c r="G699" i="1" s="1"/>
  <c r="G700" i="1" s="1"/>
  <c r="G701" i="1" s="1"/>
  <c r="G702" i="1" s="1"/>
  <c r="G703" i="1" s="1"/>
  <c r="G704" i="1" s="1"/>
  <c r="G705" i="1" s="1"/>
  <c r="G706" i="1" s="1"/>
  <c r="G707" i="1" s="1"/>
  <c r="G708" i="1" s="1"/>
  <c r="G709" i="1" s="1"/>
  <c r="G710" i="1" s="1"/>
  <c r="G711" i="1" s="1"/>
  <c r="G712" i="1" s="1"/>
  <c r="G713" i="1" s="1"/>
  <c r="G714" i="1" s="1"/>
  <c r="G715" i="1" s="1"/>
  <c r="G716" i="1" s="1"/>
  <c r="G717" i="1" s="1"/>
  <c r="G718" i="1" s="1"/>
  <c r="G719" i="1" s="1"/>
  <c r="G720" i="1" s="1"/>
  <c r="G721" i="1" s="1"/>
  <c r="G722" i="1" s="1"/>
  <c r="G723" i="1" s="1"/>
  <c r="G724" i="1" s="1"/>
  <c r="G725" i="1" s="1"/>
  <c r="G726" i="1" s="1"/>
  <c r="G727" i="1" s="1"/>
  <c r="G728" i="1" s="1"/>
  <c r="G729" i="1" s="1"/>
  <c r="G730" i="1" s="1"/>
  <c r="G731" i="1" s="1"/>
  <c r="G732" i="1" s="1"/>
  <c r="G733" i="1" s="1"/>
  <c r="G734" i="1" s="1"/>
  <c r="G735" i="1" s="1"/>
  <c r="G736" i="1" s="1"/>
  <c r="G737" i="1" s="1"/>
  <c r="G738" i="1" s="1"/>
  <c r="G739" i="1" s="1"/>
  <c r="G740" i="1" s="1"/>
  <c r="G741" i="1" s="1"/>
  <c r="G742" i="1" s="1"/>
  <c r="G743" i="1" s="1"/>
  <c r="G744" i="1" s="1"/>
  <c r="G745" i="1" s="1"/>
  <c r="G746" i="1" s="1"/>
  <c r="G747" i="1" s="1"/>
  <c r="G748" i="1" s="1"/>
  <c r="G749" i="1" s="1"/>
  <c r="G750" i="1" s="1"/>
  <c r="G751" i="1" s="1"/>
  <c r="G752" i="1" s="1"/>
  <c r="G753" i="1" s="1"/>
  <c r="G754" i="1" s="1"/>
  <c r="G755" i="1" s="1"/>
  <c r="G756" i="1" s="1"/>
  <c r="G757" i="1" s="1"/>
  <c r="G758" i="1" s="1"/>
  <c r="G759" i="1" s="1"/>
  <c r="G760" i="1" s="1"/>
  <c r="G761" i="1" s="1"/>
  <c r="G762" i="1" s="1"/>
  <c r="G763" i="1" s="1"/>
  <c r="G764" i="1" s="1"/>
  <c r="G765" i="1" s="1"/>
  <c r="G766" i="1" s="1"/>
  <c r="G767" i="1" s="1"/>
  <c r="G768" i="1" s="1"/>
  <c r="G769" i="1" s="1"/>
  <c r="G770" i="1" s="1"/>
  <c r="G771" i="1" s="1"/>
  <c r="G772" i="1" s="1"/>
  <c r="G773" i="1" s="1"/>
  <c r="G774" i="1" s="1"/>
  <c r="G775" i="1" s="1"/>
  <c r="G776" i="1" s="1"/>
  <c r="G777" i="1" s="1"/>
  <c r="G778" i="1" s="1"/>
  <c r="G779" i="1" s="1"/>
  <c r="G780" i="1" s="1"/>
  <c r="G781" i="1" s="1"/>
  <c r="G782" i="1" s="1"/>
  <c r="G783" i="1" s="1"/>
  <c r="G784" i="1" s="1"/>
  <c r="G785" i="1" s="1"/>
  <c r="G786" i="1" s="1"/>
  <c r="G787" i="1" s="1"/>
  <c r="G788" i="1" s="1"/>
  <c r="G789" i="1" s="1"/>
  <c r="G790" i="1" s="1"/>
  <c r="G791" i="1" s="1"/>
  <c r="G792" i="1" s="1"/>
  <c r="G793" i="1" s="1"/>
  <c r="G794" i="1" s="1"/>
  <c r="G795" i="1" s="1"/>
  <c r="G796" i="1" s="1"/>
  <c r="G797" i="1" s="1"/>
  <c r="G798" i="1" s="1"/>
  <c r="G799" i="1" s="1"/>
  <c r="G800" i="1" s="1"/>
  <c r="G801" i="1" s="1"/>
  <c r="G802" i="1" s="1"/>
  <c r="G803" i="1" s="1"/>
  <c r="G804" i="1" s="1"/>
  <c r="G805" i="1" s="1"/>
  <c r="G806" i="1" s="1"/>
  <c r="G807" i="1" s="1"/>
  <c r="G808" i="1" s="1"/>
  <c r="G809" i="1" s="1"/>
  <c r="G810" i="1" s="1"/>
  <c r="G811" i="1" s="1"/>
  <c r="G812" i="1" s="1"/>
  <c r="G813" i="1" s="1"/>
  <c r="G814" i="1" s="1"/>
  <c r="G815" i="1" s="1"/>
  <c r="G816" i="1" s="1"/>
  <c r="G817" i="1" s="1"/>
  <c r="G818" i="1" s="1"/>
  <c r="G819" i="1" s="1"/>
  <c r="G820" i="1" s="1"/>
  <c r="G821" i="1" s="1"/>
  <c r="G822" i="1" s="1"/>
  <c r="G823" i="1" s="1"/>
  <c r="G824" i="1" s="1"/>
  <c r="G825" i="1" s="1"/>
  <c r="G826" i="1" s="1"/>
  <c r="G827" i="1" s="1"/>
  <c r="G828" i="1" s="1"/>
  <c r="G829" i="1" s="1"/>
  <c r="G830" i="1" s="1"/>
  <c r="G831" i="1" s="1"/>
  <c r="G832" i="1" s="1"/>
  <c r="G833" i="1" s="1"/>
  <c r="G834" i="1" s="1"/>
  <c r="G835" i="1" s="1"/>
  <c r="G836" i="1" s="1"/>
  <c r="G837" i="1" s="1"/>
  <c r="G838" i="1" s="1"/>
  <c r="G839" i="1" s="1"/>
  <c r="G840" i="1" s="1"/>
  <c r="G841" i="1" s="1"/>
  <c r="G842" i="1" s="1"/>
  <c r="G843" i="1" s="1"/>
  <c r="G844" i="1" s="1"/>
  <c r="G845" i="1" s="1"/>
  <c r="G846" i="1" s="1"/>
  <c r="G847" i="1" s="1"/>
  <c r="G848" i="1" s="1"/>
  <c r="G849" i="1" s="1"/>
  <c r="G850" i="1" s="1"/>
  <c r="G851" i="1" s="1"/>
  <c r="G852" i="1" s="1"/>
  <c r="G853" i="1" s="1"/>
  <c r="G854" i="1" s="1"/>
  <c r="G855" i="1" s="1"/>
  <c r="G856" i="1" s="1"/>
  <c r="G857" i="1" s="1"/>
  <c r="G858" i="1" s="1"/>
  <c r="G859" i="1" s="1"/>
  <c r="G860" i="1" s="1"/>
  <c r="G861" i="1" s="1"/>
  <c r="G862" i="1" s="1"/>
  <c r="G863" i="1" s="1"/>
  <c r="G864" i="1" s="1"/>
  <c r="G865" i="1" s="1"/>
  <c r="G866" i="1" s="1"/>
  <c r="G867" i="1" s="1"/>
  <c r="G868" i="1" s="1"/>
  <c r="G869" i="1" s="1"/>
  <c r="G870" i="1" s="1"/>
  <c r="G871" i="1" s="1"/>
  <c r="G872" i="1" s="1"/>
  <c r="G873" i="1" s="1"/>
  <c r="G874" i="1" s="1"/>
  <c r="G875" i="1" s="1"/>
  <c r="G876" i="1" s="1"/>
  <c r="G877" i="1" s="1"/>
  <c r="G878" i="1" s="1"/>
  <c r="G879" i="1" s="1"/>
  <c r="G880" i="1" s="1"/>
  <c r="G881" i="1" s="1"/>
  <c r="G882" i="1" s="1"/>
  <c r="G883" i="1" s="1"/>
  <c r="G884" i="1" s="1"/>
  <c r="G885" i="1" s="1"/>
  <c r="G886" i="1" s="1"/>
  <c r="G887" i="1" s="1"/>
  <c r="G888" i="1" s="1"/>
  <c r="G889" i="1" s="1"/>
  <c r="G890" i="1" s="1"/>
  <c r="G891" i="1" s="1"/>
  <c r="G892" i="1" s="1"/>
  <c r="G893" i="1" s="1"/>
  <c r="G894" i="1" s="1"/>
  <c r="G895" i="1" s="1"/>
  <c r="G896" i="1" s="1"/>
  <c r="G897" i="1" s="1"/>
  <c r="G898" i="1" s="1"/>
  <c r="G899" i="1" s="1"/>
  <c r="G900" i="1" s="1"/>
  <c r="G901" i="1" s="1"/>
  <c r="G902" i="1" s="1"/>
  <c r="G903" i="1" s="1"/>
  <c r="G904" i="1" s="1"/>
  <c r="G905" i="1" s="1"/>
  <c r="G906" i="1" s="1"/>
  <c r="G907" i="1" s="1"/>
  <c r="G908" i="1" s="1"/>
  <c r="G909" i="1" s="1"/>
  <c r="G910" i="1" s="1"/>
  <c r="G911" i="1" s="1"/>
  <c r="G912" i="1" s="1"/>
  <c r="G913" i="1" s="1"/>
  <c r="G914" i="1" s="1"/>
  <c r="G915" i="1" s="1"/>
  <c r="G916" i="1" s="1"/>
  <c r="G917" i="1" s="1"/>
  <c r="G918" i="1" s="1"/>
  <c r="G919" i="1" s="1"/>
  <c r="G920" i="1" s="1"/>
  <c r="G921" i="1" s="1"/>
  <c r="G922" i="1" s="1"/>
  <c r="G923" i="1" s="1"/>
  <c r="G924" i="1" s="1"/>
  <c r="G925" i="1" s="1"/>
  <c r="G926" i="1" s="1"/>
  <c r="G927" i="1" s="1"/>
  <c r="G928" i="1" s="1"/>
  <c r="G929" i="1" s="1"/>
  <c r="G930" i="1" s="1"/>
  <c r="G931" i="1" s="1"/>
  <c r="G932" i="1" s="1"/>
  <c r="G933" i="1" s="1"/>
  <c r="G934" i="1" s="1"/>
  <c r="G935" i="1" s="1"/>
  <c r="G936" i="1" s="1"/>
  <c r="G937" i="1" s="1"/>
  <c r="G938" i="1" s="1"/>
  <c r="G939" i="1" s="1"/>
  <c r="G940" i="1" s="1"/>
  <c r="G941" i="1" s="1"/>
  <c r="G942" i="1" s="1"/>
  <c r="G943" i="1" s="1"/>
  <c r="G944" i="1" s="1"/>
  <c r="G945" i="1" s="1"/>
  <c r="G946" i="1" s="1"/>
  <c r="G947" i="1" s="1"/>
  <c r="G948" i="1" s="1"/>
  <c r="G949" i="1" s="1"/>
  <c r="G950" i="1" s="1"/>
  <c r="G951" i="1" s="1"/>
  <c r="G952" i="1" s="1"/>
  <c r="G953" i="1" s="1"/>
  <c r="G954" i="1" s="1"/>
  <c r="G955" i="1" s="1"/>
  <c r="G956" i="1" s="1"/>
  <c r="G957" i="1" s="1"/>
  <c r="G958" i="1" s="1"/>
  <c r="G959" i="1" s="1"/>
  <c r="G960" i="1" s="1"/>
  <c r="G961" i="1" s="1"/>
  <c r="G962" i="1" s="1"/>
  <c r="G963" i="1" s="1"/>
  <c r="G964" i="1" s="1"/>
  <c r="G965" i="1" s="1"/>
  <c r="G966" i="1" s="1"/>
  <c r="G967" i="1" s="1"/>
  <c r="G968" i="1" s="1"/>
  <c r="G969" i="1" s="1"/>
  <c r="G970" i="1" s="1"/>
  <c r="G971" i="1" s="1"/>
  <c r="G972" i="1" s="1"/>
  <c r="G973" i="1" s="1"/>
  <c r="G974" i="1" s="1"/>
  <c r="G975" i="1" s="1"/>
  <c r="G976" i="1" s="1"/>
  <c r="G977" i="1" s="1"/>
  <c r="G978" i="1" s="1"/>
  <c r="G979" i="1" s="1"/>
  <c r="G980" i="1" s="1"/>
  <c r="G981" i="1" s="1"/>
  <c r="G982" i="1" s="1"/>
  <c r="G983" i="1" s="1"/>
  <c r="G984" i="1" s="1"/>
  <c r="G985" i="1" s="1"/>
  <c r="G986" i="1" s="1"/>
  <c r="G987" i="1" s="1"/>
  <c r="G988" i="1" s="1"/>
  <c r="G989" i="1" s="1"/>
  <c r="G990" i="1" s="1"/>
  <c r="G991" i="1" s="1"/>
  <c r="G992" i="1" s="1"/>
  <c r="G993" i="1" s="1"/>
  <c r="G994" i="1" s="1"/>
  <c r="G995" i="1" s="1"/>
  <c r="G996" i="1" s="1"/>
  <c r="G997" i="1" s="1"/>
  <c r="G998" i="1" s="1"/>
  <c r="G999" i="1" s="1"/>
  <c r="G1000" i="1" s="1"/>
  <c r="G1001" i="1" s="1"/>
  <c r="G1002" i="1" s="1"/>
  <c r="G1003" i="1" s="1"/>
  <c r="G1004" i="1" s="1"/>
  <c r="G1005" i="1" s="1"/>
  <c r="G1006" i="1" s="1"/>
  <c r="G1007" i="1" s="1"/>
  <c r="G1008" i="1" s="1"/>
  <c r="G1009" i="1" s="1"/>
  <c r="G1010" i="1" s="1"/>
  <c r="G1011" i="1" s="1"/>
  <c r="G1012" i="1" s="1"/>
  <c r="G1013" i="1" s="1"/>
  <c r="G1014" i="1" s="1"/>
  <c r="G1015" i="1" s="1"/>
  <c r="G1016" i="1" s="1"/>
  <c r="G1017" i="1" s="1"/>
  <c r="G1018" i="1" s="1"/>
  <c r="G1019" i="1" s="1"/>
  <c r="G1020" i="1" s="1"/>
  <c r="G1021" i="1" s="1"/>
  <c r="G1022" i="1" s="1"/>
  <c r="G1023" i="1" s="1"/>
  <c r="G1024" i="1" s="1"/>
  <c r="G1025" i="1" s="1"/>
  <c r="G1026" i="1" s="1"/>
  <c r="G1027" i="1" s="1"/>
  <c r="G1028" i="1" s="1"/>
  <c r="G1029" i="1" s="1"/>
  <c r="G1030" i="1" s="1"/>
  <c r="G1031" i="1" s="1"/>
  <c r="G1032" i="1" s="1"/>
  <c r="G1033" i="1" s="1"/>
  <c r="G1034" i="1" s="1"/>
  <c r="G1035" i="1" s="1"/>
  <c r="G1036" i="1" s="1"/>
  <c r="G1037" i="1" s="1"/>
  <c r="G1038" i="1" s="1"/>
  <c r="G1039" i="1" s="1"/>
  <c r="G1040" i="1" s="1"/>
  <c r="G1041" i="1" s="1"/>
  <c r="G1042" i="1" s="1"/>
  <c r="G1043" i="1" s="1"/>
  <c r="G1044" i="1" s="1"/>
  <c r="G1045" i="1" s="1"/>
  <c r="G1046" i="1" s="1"/>
  <c r="G1047" i="1" s="1"/>
  <c r="G1048" i="1" s="1"/>
  <c r="G1049" i="1" s="1"/>
  <c r="G1050" i="1" s="1"/>
  <c r="G1051" i="1" s="1"/>
  <c r="G1052" i="1" s="1"/>
  <c r="G1053" i="1" s="1"/>
  <c r="G1054" i="1" s="1"/>
  <c r="G1055" i="1" s="1"/>
  <c r="G1056" i="1" s="1"/>
  <c r="G1057" i="1" s="1"/>
  <c r="G1058" i="1" s="1"/>
  <c r="G1059" i="1" s="1"/>
  <c r="G1060" i="1" s="1"/>
  <c r="G1061" i="1" s="1"/>
  <c r="G1062" i="1" s="1"/>
  <c r="G1063" i="1" s="1"/>
  <c r="G1064" i="1" s="1"/>
  <c r="G1065" i="1" s="1"/>
  <c r="G1066" i="1" s="1"/>
  <c r="G1067" i="1" s="1"/>
  <c r="G1068" i="1" s="1"/>
  <c r="G1069" i="1" s="1"/>
  <c r="G1070" i="1" s="1"/>
  <c r="G1071" i="1" s="1"/>
  <c r="G1072" i="1" s="1"/>
  <c r="G1073" i="1" s="1"/>
  <c r="G1074" i="1" s="1"/>
  <c r="G1075" i="1" s="1"/>
  <c r="G1076" i="1" s="1"/>
  <c r="G1077" i="1" s="1"/>
  <c r="G1078" i="1" s="1"/>
  <c r="G1079" i="1" s="1"/>
  <c r="G1080" i="1" s="1"/>
  <c r="G1081" i="1" s="1"/>
  <c r="G1082" i="1" s="1"/>
  <c r="G1083" i="1" s="1"/>
  <c r="G1084" i="1" s="1"/>
  <c r="G1085" i="1" s="1"/>
  <c r="G1086" i="1" s="1"/>
  <c r="G1087" i="1" s="1"/>
  <c r="G1088" i="1" s="1"/>
  <c r="G1089" i="1" s="1"/>
  <c r="G1090" i="1" s="1"/>
  <c r="G1091" i="1" s="1"/>
  <c r="G1092" i="1" s="1"/>
  <c r="G1093" i="1" s="1"/>
  <c r="G1094" i="1" s="1"/>
  <c r="G1095" i="1" s="1"/>
  <c r="G1096" i="1" s="1"/>
  <c r="G1097" i="1" s="1"/>
  <c r="G1098" i="1" s="1"/>
  <c r="G1099" i="1" s="1"/>
  <c r="G1100" i="1" s="1"/>
  <c r="G1101" i="1" s="1"/>
  <c r="G1102" i="1" s="1"/>
  <c r="G1103" i="1" s="1"/>
  <c r="G1104" i="1" s="1"/>
  <c r="G1105" i="1" s="1"/>
  <c r="G1106" i="1" s="1"/>
  <c r="G1107" i="1" s="1"/>
  <c r="G1108" i="1" s="1"/>
  <c r="G1109" i="1" s="1"/>
  <c r="G1110" i="1" s="1"/>
  <c r="G1111" i="1" s="1"/>
  <c r="G1112" i="1" s="1"/>
  <c r="G1113" i="1" s="1"/>
  <c r="G1114" i="1" s="1"/>
  <c r="G1115" i="1" s="1"/>
  <c r="G1116" i="1" s="1"/>
  <c r="G1117" i="1" s="1"/>
  <c r="G1118" i="1" s="1"/>
  <c r="G1119" i="1" s="1"/>
  <c r="G1120" i="1" s="1"/>
  <c r="G1121" i="1" s="1"/>
  <c r="G1122" i="1" s="1"/>
  <c r="G1123" i="1" s="1"/>
  <c r="G1124" i="1" s="1"/>
  <c r="G1125" i="1" s="1"/>
  <c r="G1126" i="1" s="1"/>
  <c r="G1127" i="1" s="1"/>
  <c r="G1128" i="1" s="1"/>
  <c r="G1129" i="1" s="1"/>
  <c r="G1130" i="1" s="1"/>
  <c r="G1131" i="1" s="1"/>
  <c r="G1132" i="1" s="1"/>
  <c r="G1133" i="1" s="1"/>
  <c r="G1134" i="1" s="1"/>
  <c r="G1135" i="1" s="1"/>
  <c r="G1136" i="1" s="1"/>
  <c r="G1137" i="1" s="1"/>
  <c r="G1138" i="1" s="1"/>
  <c r="G1139" i="1" s="1"/>
  <c r="G1140" i="1" s="1"/>
  <c r="G1141" i="1" s="1"/>
  <c r="G1142" i="1" s="1"/>
  <c r="G1143" i="1" s="1"/>
  <c r="G1144" i="1" s="1"/>
  <c r="G1145" i="1" s="1"/>
  <c r="G1146" i="1" s="1"/>
  <c r="G1147" i="1" s="1"/>
  <c r="G1148" i="1" s="1"/>
  <c r="G1149" i="1" s="1"/>
  <c r="G1150" i="1" s="1"/>
  <c r="G1151" i="1" s="1"/>
  <c r="G1152" i="1" s="1"/>
  <c r="G1153" i="1" s="1"/>
  <c r="G1154" i="1" s="1"/>
  <c r="G1155" i="1" s="1"/>
  <c r="G1156" i="1" s="1"/>
  <c r="G1157" i="1" s="1"/>
  <c r="G1158" i="1" s="1"/>
  <c r="G1159" i="1" s="1"/>
  <c r="G1160" i="1" s="1"/>
  <c r="G1161" i="1" s="1"/>
  <c r="G1162" i="1" s="1"/>
  <c r="G1163" i="1" s="1"/>
  <c r="G1164" i="1" s="1"/>
  <c r="G1165" i="1" s="1"/>
  <c r="G1166" i="1" s="1"/>
  <c r="G1167" i="1" s="1"/>
  <c r="G1168" i="1" s="1"/>
  <c r="G1169" i="1" s="1"/>
  <c r="G1170" i="1" s="1"/>
  <c r="G1171" i="1" s="1"/>
  <c r="G1172" i="1" s="1"/>
  <c r="G1173" i="1" s="1"/>
  <c r="G1174" i="1" s="1"/>
  <c r="G1175" i="1" s="1"/>
  <c r="G1176" i="1" s="1"/>
  <c r="G1177" i="1" s="1"/>
  <c r="G1178" i="1" s="1"/>
  <c r="G1179" i="1" s="1"/>
  <c r="G1180" i="1" s="1"/>
  <c r="G1181" i="1" s="1"/>
  <c r="G1182" i="1" s="1"/>
  <c r="G1183" i="1" s="1"/>
  <c r="G1184" i="1" s="1"/>
  <c r="G1185" i="1" s="1"/>
  <c r="G1186" i="1" s="1"/>
  <c r="G1187" i="1" s="1"/>
  <c r="G1188" i="1" s="1"/>
  <c r="G1189" i="1" s="1"/>
  <c r="G1190" i="1" s="1"/>
  <c r="G1191" i="1" s="1"/>
  <c r="G1192" i="1" s="1"/>
  <c r="G1193" i="1" s="1"/>
  <c r="G1194" i="1" s="1"/>
  <c r="G1195" i="1" s="1"/>
  <c r="G1196" i="1" s="1"/>
  <c r="G1197" i="1" s="1"/>
  <c r="G1198" i="1" s="1"/>
  <c r="G1199" i="1" s="1"/>
  <c r="G1200" i="1" s="1"/>
  <c r="G1201" i="1" s="1"/>
  <c r="G1202" i="1" s="1"/>
  <c r="G1203" i="1" s="1"/>
  <c r="G1204" i="1" s="1"/>
  <c r="G1205" i="1" s="1"/>
  <c r="G1206" i="1" s="1"/>
  <c r="G1207" i="1" s="1"/>
  <c r="G1208" i="1" s="1"/>
  <c r="G1209" i="1" s="1"/>
  <c r="G1210" i="1" s="1"/>
  <c r="G1211" i="1" s="1"/>
  <c r="G1212" i="1" s="1"/>
  <c r="G1213" i="1" s="1"/>
  <c r="G1214" i="1" s="1"/>
  <c r="G1215" i="1" s="1"/>
  <c r="G1216" i="1" s="1"/>
  <c r="G1217" i="1" s="1"/>
  <c r="G1218" i="1" s="1"/>
  <c r="G1219" i="1" s="1"/>
  <c r="G1220" i="1" s="1"/>
  <c r="G1221" i="1" s="1"/>
  <c r="G1222" i="1" s="1"/>
  <c r="G1223" i="1" s="1"/>
  <c r="G1224" i="1" s="1"/>
  <c r="G1225" i="1" s="1"/>
  <c r="G1226" i="1" s="1"/>
  <c r="G1227" i="1" s="1"/>
  <c r="G1228" i="1" s="1"/>
  <c r="G1229" i="1" s="1"/>
  <c r="G1230" i="1" s="1"/>
  <c r="G1231" i="1" s="1"/>
  <c r="G1232" i="1" s="1"/>
  <c r="G1233" i="1" s="1"/>
  <c r="G1234" i="1" s="1"/>
  <c r="G1235" i="1" s="1"/>
  <c r="G1236" i="1" s="1"/>
  <c r="G1237" i="1" s="1"/>
  <c r="G1238" i="1" s="1"/>
  <c r="G1239" i="1" s="1"/>
  <c r="G1240" i="1" s="1"/>
  <c r="G1241" i="1" s="1"/>
  <c r="G1242" i="1" s="1"/>
  <c r="G1243" i="1" s="1"/>
  <c r="G1244" i="1" s="1"/>
  <c r="G1245" i="1" s="1"/>
  <c r="G1246" i="1" s="1"/>
  <c r="G1247" i="1" s="1"/>
  <c r="G1248" i="1" s="1"/>
  <c r="G1249" i="1" s="1"/>
  <c r="G1250" i="1" s="1"/>
  <c r="G1251" i="1" s="1"/>
  <c r="G1252" i="1" s="1"/>
  <c r="G1253" i="1" s="1"/>
  <c r="G1254" i="1" s="1"/>
  <c r="G1255" i="1" s="1"/>
  <c r="G1256" i="1" s="1"/>
  <c r="G1257" i="1" s="1"/>
  <c r="G1258" i="1" s="1"/>
  <c r="G1259" i="1" s="1"/>
  <c r="G1260" i="1" s="1"/>
  <c r="G1261" i="1" s="1"/>
  <c r="G1262" i="1" s="1"/>
  <c r="G1263" i="1" s="1"/>
  <c r="G1264" i="1" s="1"/>
  <c r="G1265" i="1" s="1"/>
  <c r="G1266" i="1" s="1"/>
  <c r="G1267" i="1" s="1"/>
  <c r="G1268" i="1" s="1"/>
  <c r="G1269" i="1" s="1"/>
  <c r="G1270" i="1" s="1"/>
  <c r="G1271" i="1" s="1"/>
  <c r="G1272" i="1" s="1"/>
  <c r="G1273" i="1" s="1"/>
  <c r="G1274" i="1" s="1"/>
  <c r="G1275" i="1" s="1"/>
  <c r="G1276" i="1" s="1"/>
  <c r="G1277" i="1" s="1"/>
  <c r="G1278" i="1" s="1"/>
  <c r="G1279" i="1" s="1"/>
  <c r="G1280" i="1" s="1"/>
  <c r="G1281" i="1" s="1"/>
  <c r="G1282" i="1" s="1"/>
  <c r="G1283" i="1" s="1"/>
  <c r="G1284" i="1" s="1"/>
  <c r="G1285" i="1" s="1"/>
  <c r="G1286" i="1" s="1"/>
  <c r="G1287" i="1" s="1"/>
  <c r="G1288" i="1" s="1"/>
  <c r="G1289" i="1" s="1"/>
  <c r="G1290" i="1" s="1"/>
  <c r="G1291" i="1" s="1"/>
  <c r="G1292" i="1" s="1"/>
  <c r="G1293" i="1" s="1"/>
  <c r="G1294" i="1" s="1"/>
  <c r="G1295" i="1" s="1"/>
  <c r="R2" i="1"/>
  <c r="U2" i="1" s="1"/>
  <c r="O2" i="1"/>
  <c r="M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5B1B07D-A7A0-466E-B2B5-13409F0865CD}"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2" xr16:uid="{C715C968-9051-4D72-B088-EA1D51F7B9B8}" keepAlive="1" name="Query - Target" description="Connection to the 'Target' query in the workbook." type="5" refreshedVersion="8" background="1" saveData="1">
    <dbPr connection="Provider=Microsoft.Mashup.OleDb.1;Data Source=$Workbook$;Location=Target;Extended Properties=&quot;&quot;" command="SELECT * FROM [Target]"/>
  </connection>
  <connection id="3" xr16:uid="{CDB18FFD-0099-4BC3-8BAE-343F8ED443F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E448C82A-FAE5-4003-99CC-943C3AE72A66}" name="WorksheetConnection_Sales2025.xlsx!Sales" type="102" refreshedVersion="8" minRefreshableVersion="5">
    <extLst>
      <ext xmlns:x15="http://schemas.microsoft.com/office/spreadsheetml/2010/11/main" uri="{DE250136-89BD-433C-8126-D09CA5730AF9}">
        <x15:connection id="Sales" autoDelete="1">
          <x15:rangePr sourceName="_xlcn.WorksheetConnection_Sales2025.xlsxSales1"/>
        </x15:connection>
      </ext>
    </extLst>
  </connection>
  <connection id="5" xr16:uid="{63C5C9C7-7627-4A5B-8EDF-C03EB52E1BC0}" name="WorksheetConnection_Sales2025.xlsx!Target" type="102" refreshedVersion="8" minRefreshableVersion="5">
    <extLst>
      <ext xmlns:x15="http://schemas.microsoft.com/office/spreadsheetml/2010/11/main" uri="{DE250136-89BD-433C-8126-D09CA5730AF9}">
        <x15:connection id="Target">
          <x15:rangePr sourceName="_xlcn.WorksheetConnection_Sales2025.xlsxTarget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5">
    <s v="ThisWorkbookDataModel"/>
    <s v="{[Sales].[التصنيف].&amp;[زبادى]}"/>
    <s v="{[Sales].[التصنيف].&amp;[عصير]}"/>
    <s v="{[Sales].[التصنيف].&amp;[البان]}"/>
    <s v="{[Sales].[التصنيف].&amp;[جبنة]}"/>
  </metadataStrings>
  <mdxMetadata count="4">
    <mdx n="0" f="s">
      <ms ns="1" c="0"/>
    </mdx>
    <mdx n="0" f="s">
      <ms ns="2" c="0"/>
    </mdx>
    <mdx n="0" f="s">
      <ms ns="3" c="0"/>
    </mdx>
    <mdx n="0" f="s">
      <ms ns="4" c="0"/>
    </mdx>
  </mdxMetadata>
  <valueMetadata count="4">
    <bk>
      <rc t="1" v="0"/>
    </bk>
    <bk>
      <rc t="1" v="1"/>
    </bk>
    <bk>
      <rc t="1" v="2"/>
    </bk>
    <bk>
      <rc t="1" v="3"/>
    </bk>
  </valueMetadata>
</metadata>
</file>

<file path=xl/sharedStrings.xml><?xml version="1.0" encoding="utf-8"?>
<sst xmlns="http://schemas.openxmlformats.org/spreadsheetml/2006/main" count="4111" uniqueCount="131">
  <si>
    <t>م</t>
  </si>
  <si>
    <t>التاريخ</t>
  </si>
  <si>
    <t>اسم الصنف</t>
  </si>
  <si>
    <t>سعر الشركة</t>
  </si>
  <si>
    <t>الكمية</t>
  </si>
  <si>
    <t>سعر الشراء</t>
  </si>
  <si>
    <t>سعر الوحدة</t>
  </si>
  <si>
    <t>قيمة خصم</t>
  </si>
  <si>
    <t>السعر الصافى</t>
  </si>
  <si>
    <t>التصنيف</t>
  </si>
  <si>
    <t xml:space="preserve"> نسبة العمولة </t>
  </si>
  <si>
    <t xml:space="preserve"> العمولة </t>
  </si>
  <si>
    <t xml:space="preserve">سيارات </t>
  </si>
  <si>
    <t xml:space="preserve">حافز </t>
  </si>
  <si>
    <t xml:space="preserve">اجمالى العمولة </t>
  </si>
  <si>
    <t>الشهور</t>
  </si>
  <si>
    <t>رقم الطلبية</t>
  </si>
  <si>
    <t>زبادى فراولة 75 جم</t>
  </si>
  <si>
    <t>زبادى</t>
  </si>
  <si>
    <t xml:space="preserve">يناير </t>
  </si>
  <si>
    <t>زبادى 170 جم (عرض وفر جنية) 24 علبة</t>
  </si>
  <si>
    <t>زبادى تريتس بقطع الفواكهة عرض</t>
  </si>
  <si>
    <t xml:space="preserve">زبادى قطع 70 جم </t>
  </si>
  <si>
    <t>مشروب زبادى  220 جم (12 علبة)</t>
  </si>
  <si>
    <t>مشروب زبادى 440جم YOGo</t>
  </si>
  <si>
    <t>عصير بيتى 235 ملى</t>
  </si>
  <si>
    <t xml:space="preserve">عصير </t>
  </si>
  <si>
    <t>عصير المراعى 1 لتر (مانجو )</t>
  </si>
  <si>
    <t>جبنة المراعى شيدر 250جم</t>
  </si>
  <si>
    <t xml:space="preserve">جبنة </t>
  </si>
  <si>
    <t xml:space="preserve">زبادى طبيعى 75 جم </t>
  </si>
  <si>
    <t>رايب المراعى 220 جم</t>
  </si>
  <si>
    <t xml:space="preserve">حليب مراعى 1لتر(12 علبة ) كرتون </t>
  </si>
  <si>
    <t>البان</t>
  </si>
  <si>
    <t>حليب محلى 220 ملى سنجل</t>
  </si>
  <si>
    <t>زبادى دلة 65جم</t>
  </si>
  <si>
    <t>رايب المراعى 440 جم</t>
  </si>
  <si>
    <t>جبنة المراعى 250جم</t>
  </si>
  <si>
    <t>عصير المراعى 1 لتر (اطعم مختلفة )</t>
  </si>
  <si>
    <t>عصير بيتى 1 لتر (جوافة و تفاح و كوكتيل)</t>
  </si>
  <si>
    <t>فبراير</t>
  </si>
  <si>
    <t xml:space="preserve">عصير كل يوم 200 ملى </t>
  </si>
  <si>
    <t>جبنة المراعى 500 جم</t>
  </si>
  <si>
    <t>جبنة المراعى 500 جم رومى وشيدر</t>
  </si>
  <si>
    <t>كيك باور لوزين</t>
  </si>
  <si>
    <t xml:space="preserve">حليب مراعى 1لتر(12 علبة ) بلاستيك </t>
  </si>
  <si>
    <t>مارس</t>
  </si>
  <si>
    <t>عصير بيتى 1 لتر (مانجو و اناناس وبرتقال)</t>
  </si>
  <si>
    <t>عصير بيتى  1 لتر (مانجو ) عرض</t>
  </si>
  <si>
    <t>أبريل</t>
  </si>
  <si>
    <t>مايو</t>
  </si>
  <si>
    <t>حليب محلى 200 (وفر 1 جنية)</t>
  </si>
  <si>
    <t>زبادى يونانى 170 جم (5%)</t>
  </si>
  <si>
    <t>يوليو</t>
  </si>
  <si>
    <t>أغسطس</t>
  </si>
  <si>
    <t>سبتمبر</t>
  </si>
  <si>
    <t>عصير كل يوم 225ملى</t>
  </si>
  <si>
    <t>جبنة المراعى 125جم</t>
  </si>
  <si>
    <t>أكتوبر</t>
  </si>
  <si>
    <t>نوفمبر</t>
  </si>
  <si>
    <t xml:space="preserve">حليب مراعى لتر ونصف بلاستيك </t>
  </si>
  <si>
    <t xml:space="preserve">جبنة مثلثات 8 قطعة *24 علبة </t>
  </si>
  <si>
    <t xml:space="preserve">زبادى بيتى 65 جم </t>
  </si>
  <si>
    <t>ديسمبر</t>
  </si>
  <si>
    <t>عصير المراعى 235 ملل</t>
  </si>
  <si>
    <t xml:space="preserve">زبادى بودينج 60 جم </t>
  </si>
  <si>
    <t xml:space="preserve">زبادى تريتس بقطع الفواكهة عرض48 قطعة </t>
  </si>
  <si>
    <t xml:space="preserve">زبادى بيتى 65 فرولة </t>
  </si>
  <si>
    <t xml:space="preserve">زبادى بيتى 65 جم  طبيعى </t>
  </si>
  <si>
    <t>Target</t>
  </si>
  <si>
    <t>الصتف</t>
  </si>
  <si>
    <t xml:space="preserve">العمولة </t>
  </si>
  <si>
    <t>حليب مراعى اقتصادى 1 لتر (4 علبة)</t>
  </si>
  <si>
    <t>حليب مراعى اقتصادى 1 لتر (6 علبة)</t>
  </si>
  <si>
    <t>حليب بيتى 1 لتر (12 علبة )</t>
  </si>
  <si>
    <t xml:space="preserve">حليب سادة 200ملى </t>
  </si>
  <si>
    <t>حليب محلى 200 (وفر نص جنية)</t>
  </si>
  <si>
    <t>كل يوم عصير 900ملى</t>
  </si>
  <si>
    <t>عصير بيتى  Bee/Pluse</t>
  </si>
  <si>
    <t>زبادى 75 جم (وفر2 جنية )</t>
  </si>
  <si>
    <t>مشروب زبادى  220 جم (24علبة)</t>
  </si>
  <si>
    <t xml:space="preserve">رايب المراعى 1 لتر </t>
  </si>
  <si>
    <t>كريمة (خفق / طهى ) 1 لتر</t>
  </si>
  <si>
    <t>كريمة (خفق / طهى )500</t>
  </si>
  <si>
    <t>كريمة (خفق / طهى )200</t>
  </si>
  <si>
    <t>لبنة المراعى 180 جم (24 قطعة )</t>
  </si>
  <si>
    <t>لبنة المراعى 400 جم (24 قطعة )</t>
  </si>
  <si>
    <t>كب كيك لوزين  Cup Cake    كرتونة</t>
  </si>
  <si>
    <t xml:space="preserve">كب كيك لوزين  Cup Cake  علبة    </t>
  </si>
  <si>
    <t>جبنة المراعى رومى 250جم</t>
  </si>
  <si>
    <t>جبنة المراعى برطمان 500</t>
  </si>
  <si>
    <t>جبنة المراعى برطمان 200</t>
  </si>
  <si>
    <t>جبنة المراعى 500 جم شيدر</t>
  </si>
  <si>
    <t>Distinct Count of رقم الطلبية</t>
  </si>
  <si>
    <t>Sum of سعر الشركة</t>
  </si>
  <si>
    <t>Sum of Target</t>
  </si>
  <si>
    <t xml:space="preserve">عدد الطلبيات </t>
  </si>
  <si>
    <t xml:space="preserve">اجمالى المسحوبات </t>
  </si>
  <si>
    <t xml:space="preserve">الهدف </t>
  </si>
  <si>
    <t>نسبة تجقيق الهدف</t>
  </si>
  <si>
    <t>Row Labels</t>
  </si>
  <si>
    <t>جبنة</t>
  </si>
  <si>
    <t>عصير</t>
  </si>
  <si>
    <t>Grand Total</t>
  </si>
  <si>
    <t>مسحوبات العصير</t>
  </si>
  <si>
    <t>مسحوبات الالبان</t>
  </si>
  <si>
    <t xml:space="preserve">مسحوبات الجبنة </t>
  </si>
  <si>
    <t>يناير</t>
  </si>
  <si>
    <t>جبنة مثلثات 8 قطعة *24 علبة</t>
  </si>
  <si>
    <t>حليب مراعى 1لتر(12 علبة ) بلاستيك</t>
  </si>
  <si>
    <t>حليب مراعى 1لتر(12 علبة ) كرتون</t>
  </si>
  <si>
    <t>حليب مراعى لتر ونصف بلاستيك</t>
  </si>
  <si>
    <t>زبادى بودينج 60 جم</t>
  </si>
  <si>
    <t>زبادى بيتى 65 جم</t>
  </si>
  <si>
    <t>زبادى بيتى 65 جم  طبيعى</t>
  </si>
  <si>
    <t>زبادى بيتى 65 فرولة</t>
  </si>
  <si>
    <t>زبادى تريتس بقطع الفواكهة عرض48 قطعة</t>
  </si>
  <si>
    <t>زبادى طبيعى 75 جم</t>
  </si>
  <si>
    <t>زبادى قطع 70 جم</t>
  </si>
  <si>
    <t>عصير كل يوم 200 ملى</t>
  </si>
  <si>
    <t xml:space="preserve"> الكمية</t>
  </si>
  <si>
    <t>المبلغ</t>
  </si>
  <si>
    <t>النسبة</t>
  </si>
  <si>
    <t>يونيو</t>
  </si>
  <si>
    <t>المجموعات مبلغ وكراتين</t>
  </si>
  <si>
    <t xml:space="preserve">مسحوبات كل شهر </t>
  </si>
  <si>
    <t>مسحوبات الزبادى مبلغ وكراتين</t>
  </si>
  <si>
    <t>مسحوبات العصير مبلغ وكراتين</t>
  </si>
  <si>
    <t>مسحوبات الجبنة  مبلغ وكراتين</t>
  </si>
  <si>
    <t>مسحوبات الالبان  مبلغ وكراتين</t>
  </si>
  <si>
    <t>مقارنة شهر بشهر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</si>
</sst>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_-* #,##0.00_-;\-* #,##0.00_-;_-* &quot;-&quot;??_-;_-@_-"/>
    <numFmt numFmtId="165" formatCode="yyyy/mm/dd;@"/>
    <numFmt numFmtId="166" formatCode="#,##0_ ;[Red]\-#,##0\ "/>
  </numFmts>
  <fonts count="23" x14ac:knownFonts="1">
    <font>
      <sz val="11"/>
      <color theme="1"/>
      <name val="Calibri"/>
      <family val="2"/>
      <scheme val="minor"/>
    </font>
    <font>
      <b/>
      <sz val="16"/>
      <name val="Arial"/>
      <family val="2"/>
    </font>
    <font>
      <b/>
      <sz val="15"/>
      <name val="Arial"/>
      <family val="2"/>
    </font>
    <font>
      <b/>
      <sz val="12"/>
      <name val="Arial"/>
      <family val="2"/>
    </font>
    <font>
      <b/>
      <sz val="14"/>
      <name val="Arial"/>
      <family val="2"/>
    </font>
    <font>
      <sz val="11"/>
      <color theme="1"/>
      <name val="Calibri"/>
      <family val="2"/>
      <scheme val="minor"/>
    </font>
    <font>
      <b/>
      <sz val="16"/>
      <color theme="1"/>
      <name val="Calibri"/>
      <family val="2"/>
      <scheme val="minor"/>
    </font>
    <font>
      <b/>
      <sz val="20"/>
      <color theme="1"/>
      <name val="Calibri"/>
      <family val="2"/>
      <scheme val="minor"/>
    </font>
    <font>
      <b/>
      <sz val="14"/>
      <color theme="1"/>
      <name val="Calibri"/>
      <family val="2"/>
      <scheme val="minor"/>
    </font>
    <font>
      <b/>
      <sz val="18"/>
      <color theme="1"/>
      <name val="Calibri"/>
      <family val="2"/>
      <scheme val="minor"/>
    </font>
    <font>
      <b/>
      <sz val="11"/>
      <color theme="1"/>
      <name val="Calibri"/>
      <family val="2"/>
      <scheme val="minor"/>
    </font>
    <font>
      <sz val="11"/>
      <color theme="0"/>
      <name val="Calibri"/>
      <family val="2"/>
      <scheme val="minor"/>
    </font>
    <font>
      <b/>
      <sz val="20"/>
      <color theme="0"/>
      <name val="Calibri"/>
      <family val="2"/>
      <scheme val="minor"/>
    </font>
    <font>
      <b/>
      <sz val="18"/>
      <color theme="0"/>
      <name val="Calibri"/>
      <family val="2"/>
      <scheme val="minor"/>
    </font>
    <font>
      <sz val="14"/>
      <color theme="1" tint="4.9989318521683403E-2"/>
      <name val="Calibri"/>
      <family val="2"/>
      <scheme val="minor"/>
    </font>
    <font>
      <b/>
      <sz val="14"/>
      <color theme="1" tint="4.9989318521683403E-2"/>
      <name val="Calibri"/>
      <family val="2"/>
      <scheme val="minor"/>
    </font>
    <font>
      <sz val="11"/>
      <color theme="1" tint="4.9989318521683403E-2"/>
      <name val="Calibri"/>
      <family val="2"/>
      <scheme val="minor"/>
    </font>
    <font>
      <b/>
      <sz val="16"/>
      <color theme="1" tint="4.9989318521683403E-2"/>
      <name val="Calibri"/>
      <family val="2"/>
      <scheme val="minor"/>
    </font>
    <font>
      <b/>
      <sz val="20"/>
      <color theme="1" tint="4.9989318521683403E-2"/>
      <name val="Calibri"/>
      <family val="2"/>
      <scheme val="minor"/>
    </font>
    <font>
      <sz val="16"/>
      <color theme="0"/>
      <name val="Calibri"/>
      <family val="2"/>
      <scheme val="minor"/>
    </font>
    <font>
      <sz val="11"/>
      <color theme="8" tint="-0.499984740745262"/>
      <name val="Calibri"/>
      <family val="2"/>
      <scheme val="minor"/>
    </font>
    <font>
      <b/>
      <sz val="16"/>
      <color theme="8" tint="-0.499984740745262"/>
      <name val="Calibri"/>
      <family val="2"/>
      <scheme val="minor"/>
    </font>
    <font>
      <b/>
      <sz val="20"/>
      <color theme="8" tint="-0.499984740745262"/>
      <name val="Calibri"/>
      <family val="2"/>
      <scheme val="minor"/>
    </font>
  </fonts>
  <fills count="15">
    <fill>
      <patternFill patternType="none"/>
    </fill>
    <fill>
      <patternFill patternType="gray125"/>
    </fill>
    <fill>
      <patternFill patternType="solid">
        <fgColor indexed="13"/>
        <bgColor indexed="64"/>
      </patternFill>
    </fill>
    <fill>
      <patternFill patternType="solid">
        <fgColor indexed="21"/>
        <bgColor indexed="64"/>
      </patternFill>
    </fill>
    <fill>
      <patternFill patternType="solid">
        <fgColor indexed="15"/>
        <bgColor indexed="64"/>
      </patternFill>
    </fill>
    <fill>
      <patternFill patternType="solid">
        <fgColor indexed="22"/>
        <bgColor indexed="64"/>
      </patternFill>
    </fill>
    <fill>
      <patternFill patternType="solid">
        <fgColor indexed="42"/>
        <bgColor indexed="64"/>
      </patternFill>
    </fill>
    <fill>
      <patternFill patternType="solid">
        <fgColor indexed="9"/>
        <bgColor indexed="64"/>
      </patternFill>
    </fill>
    <fill>
      <patternFill patternType="solid">
        <fgColor indexed="11"/>
        <bgColor indexed="64"/>
      </patternFill>
    </fill>
    <fill>
      <patternFill patternType="solid">
        <fgColor indexed="57"/>
        <bgColor indexed="64"/>
      </patternFill>
    </fill>
    <fill>
      <patternFill patternType="solid">
        <fgColor rgb="FFFFFF00"/>
        <bgColor indexed="64"/>
      </patternFill>
    </fill>
    <fill>
      <patternFill patternType="solid">
        <fgColor theme="5"/>
        <bgColor indexed="64"/>
      </patternFill>
    </fill>
    <fill>
      <patternFill patternType="solid">
        <fgColor theme="1"/>
        <bgColor indexed="64"/>
      </patternFill>
    </fill>
    <fill>
      <patternFill patternType="solid">
        <fgColor rgb="FFFFC000"/>
        <bgColor indexed="64"/>
      </patternFill>
    </fill>
    <fill>
      <patternFill patternType="solid">
        <fgColor theme="5" tint="0.39997558519241921"/>
        <bgColor indexed="64"/>
      </patternFill>
    </fill>
  </fills>
  <borders count="11">
    <border>
      <left/>
      <right/>
      <top/>
      <bottom/>
      <diagonal/>
    </border>
    <border>
      <left/>
      <right style="double">
        <color indexed="64"/>
      </right>
      <top/>
      <bottom style="double">
        <color indexed="64"/>
      </bottom>
      <diagonal/>
    </border>
    <border>
      <left style="double">
        <color indexed="64"/>
      </left>
      <right style="double">
        <color indexed="64"/>
      </right>
      <top/>
      <bottom style="double">
        <color indexed="64"/>
      </bottom>
      <diagonal/>
    </border>
    <border>
      <left style="double">
        <color indexed="64"/>
      </left>
      <right style="thick">
        <color indexed="64"/>
      </right>
      <top/>
      <bottom style="double">
        <color indexed="64"/>
      </bottom>
      <diagonal/>
    </border>
    <border>
      <left/>
      <right/>
      <top/>
      <bottom style="double">
        <color indexed="64"/>
      </bottom>
      <diagonal/>
    </border>
    <border>
      <left style="double">
        <color indexed="64"/>
      </left>
      <right style="double">
        <color indexed="64"/>
      </right>
      <top style="thick">
        <color indexed="64"/>
      </top>
      <bottom style="double">
        <color indexed="64"/>
      </bottom>
      <diagonal/>
    </border>
    <border>
      <left/>
      <right style="double">
        <color indexed="64"/>
      </right>
      <top style="double">
        <color indexed="64"/>
      </top>
      <bottom style="double">
        <color indexed="64"/>
      </bottom>
      <diagonal/>
    </border>
    <border>
      <left style="double">
        <color indexed="64"/>
      </left>
      <right style="double">
        <color indexed="64"/>
      </right>
      <top style="double">
        <color indexed="64"/>
      </top>
      <bottom style="double">
        <color indexed="64"/>
      </bottom>
      <diagonal/>
    </border>
    <border>
      <left style="double">
        <color indexed="64"/>
      </left>
      <right style="thick">
        <color indexed="64"/>
      </right>
      <top style="double">
        <color indexed="64"/>
      </top>
      <bottom style="double">
        <color indexed="64"/>
      </bottom>
      <diagonal/>
    </border>
    <border>
      <left style="double">
        <color indexed="64"/>
      </left>
      <right style="double">
        <color indexed="64"/>
      </right>
      <top/>
      <bottom/>
      <diagonal/>
    </border>
    <border>
      <left style="hair">
        <color indexed="64"/>
      </left>
      <right style="hair">
        <color indexed="64"/>
      </right>
      <top style="hair">
        <color indexed="64"/>
      </top>
      <bottom style="hair">
        <color indexed="64"/>
      </bottom>
      <diagonal/>
    </border>
  </borders>
  <cellStyleXfs count="2">
    <xf numFmtId="0" fontId="0" fillId="0" borderId="0"/>
    <xf numFmtId="164" fontId="5" fillId="0" borderId="0" applyFont="0" applyFill="0" applyBorder="0" applyAlignment="0" applyProtection="0"/>
  </cellStyleXfs>
  <cellXfs count="73">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0" borderId="1" xfId="0" applyFont="1" applyBorder="1" applyAlignment="1">
      <alignment horizontal="center" vertical="center"/>
    </xf>
    <xf numFmtId="165" fontId="1" fillId="0" borderId="2" xfId="0" applyNumberFormat="1" applyFont="1" applyBorder="1" applyAlignment="1">
      <alignment horizontal="left"/>
    </xf>
    <xf numFmtId="0" fontId="1" fillId="0" borderId="2" xfId="0" applyFont="1" applyBorder="1" applyAlignment="1">
      <alignment horizontal="center"/>
    </xf>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0" borderId="4" xfId="0" applyFont="1" applyBorder="1" applyAlignment="1">
      <alignment horizontal="center" vertical="center"/>
    </xf>
    <xf numFmtId="0" fontId="2" fillId="2" borderId="5" xfId="0" applyFont="1" applyFill="1" applyBorder="1" applyAlignment="1">
      <alignment horizontal="left" readingOrder="2"/>
    </xf>
    <xf numFmtId="0" fontId="1" fillId="2" borderId="0" xfId="0" applyFont="1" applyFill="1" applyAlignment="1">
      <alignment vertical="center"/>
    </xf>
    <xf numFmtId="9" fontId="1" fillId="2" borderId="0" xfId="0" applyNumberFormat="1" applyFont="1" applyFill="1" applyAlignment="1">
      <alignment vertical="center"/>
    </xf>
    <xf numFmtId="0" fontId="1" fillId="0" borderId="0" xfId="0" applyFont="1" applyAlignment="1">
      <alignment vertical="center"/>
    </xf>
    <xf numFmtId="0" fontId="1" fillId="0" borderId="6" xfId="0" applyFont="1" applyBorder="1" applyAlignment="1">
      <alignment vertical="center"/>
    </xf>
    <xf numFmtId="14" fontId="1" fillId="0" borderId="7" xfId="0" applyNumberFormat="1" applyFont="1" applyBorder="1" applyAlignment="1">
      <alignment horizontal="left" wrapText="1"/>
    </xf>
    <xf numFmtId="0" fontId="1" fillId="0" borderId="7" xfId="0" applyFont="1" applyBorder="1" applyAlignment="1">
      <alignment horizontal="center"/>
    </xf>
    <xf numFmtId="0" fontId="1" fillId="2" borderId="7" xfId="0" applyFont="1" applyFill="1" applyBorder="1" applyAlignment="1">
      <alignment horizontal="center"/>
    </xf>
    <xf numFmtId="0" fontId="1" fillId="2" borderId="8" xfId="0" applyFont="1" applyFill="1" applyBorder="1" applyAlignment="1">
      <alignment horizontal="center"/>
    </xf>
    <xf numFmtId="14" fontId="1" fillId="0" borderId="7" xfId="0" applyNumberFormat="1" applyFont="1" applyBorder="1" applyAlignment="1">
      <alignment horizontal="left"/>
    </xf>
    <xf numFmtId="0" fontId="3" fillId="0" borderId="7" xfId="0" applyFont="1" applyBorder="1" applyAlignment="1">
      <alignment horizontal="center"/>
    </xf>
    <xf numFmtId="0" fontId="2" fillId="2" borderId="7" xfId="0" applyFont="1" applyFill="1" applyBorder="1" applyAlignment="1">
      <alignment horizontal="left" readingOrder="2"/>
    </xf>
    <xf numFmtId="0" fontId="2" fillId="4" borderId="5" xfId="0" applyFont="1" applyFill="1" applyBorder="1" applyAlignment="1">
      <alignment horizontal="left" readingOrder="2"/>
    </xf>
    <xf numFmtId="0" fontId="2" fillId="4" borderId="7" xfId="0" applyFont="1" applyFill="1" applyBorder="1" applyAlignment="1">
      <alignment horizontal="left" readingOrder="2"/>
    </xf>
    <xf numFmtId="0" fontId="2" fillId="5" borderId="5" xfId="0" applyFont="1" applyFill="1" applyBorder="1" applyAlignment="1">
      <alignment horizontal="left" readingOrder="2"/>
    </xf>
    <xf numFmtId="0" fontId="2" fillId="5" borderId="7" xfId="0" applyFont="1" applyFill="1" applyBorder="1" applyAlignment="1">
      <alignment horizontal="left" readingOrder="2"/>
    </xf>
    <xf numFmtId="0" fontId="1" fillId="2" borderId="6" xfId="0" applyFont="1" applyFill="1" applyBorder="1" applyAlignment="1">
      <alignment vertical="center"/>
    </xf>
    <xf numFmtId="14" fontId="1" fillId="2" borderId="7" xfId="0" applyNumberFormat="1" applyFont="1" applyFill="1" applyBorder="1" applyAlignment="1">
      <alignment horizontal="left"/>
    </xf>
    <xf numFmtId="0" fontId="2" fillId="5" borderId="9" xfId="0" applyFont="1" applyFill="1" applyBorder="1" applyAlignment="1">
      <alignment horizontal="left" readingOrder="2"/>
    </xf>
    <xf numFmtId="0" fontId="2" fillId="6" borderId="5" xfId="0" applyFont="1" applyFill="1" applyBorder="1" applyAlignment="1">
      <alignment horizontal="left" readingOrder="2"/>
    </xf>
    <xf numFmtId="0" fontId="2" fillId="6" borderId="7" xfId="0" applyFont="1" applyFill="1" applyBorder="1" applyAlignment="1">
      <alignment horizontal="left" readingOrder="2"/>
    </xf>
    <xf numFmtId="0" fontId="2" fillId="0" borderId="10" xfId="0" applyFont="1" applyBorder="1" applyAlignment="1">
      <alignment horizontal="left"/>
    </xf>
    <xf numFmtId="0" fontId="2" fillId="7" borderId="10" xfId="0" applyFont="1" applyFill="1" applyBorder="1" applyAlignment="1">
      <alignment horizontal="left"/>
    </xf>
    <xf numFmtId="0" fontId="2" fillId="0" borderId="0" xfId="0" applyFont="1" applyAlignment="1">
      <alignment horizontal="left"/>
    </xf>
    <xf numFmtId="0" fontId="2" fillId="2" borderId="0" xfId="0" applyFont="1" applyFill="1" applyAlignment="1">
      <alignment horizontal="left"/>
    </xf>
    <xf numFmtId="0" fontId="1" fillId="8" borderId="7" xfId="0" applyFont="1" applyFill="1" applyBorder="1" applyAlignment="1">
      <alignment horizontal="center"/>
    </xf>
    <xf numFmtId="0" fontId="1" fillId="9" borderId="7" xfId="0" applyFont="1" applyFill="1" applyBorder="1" applyAlignment="1">
      <alignment horizontal="center"/>
    </xf>
    <xf numFmtId="0" fontId="4" fillId="0" borderId="7" xfId="0" applyFont="1" applyBorder="1" applyAlignment="1">
      <alignment horizontal="center"/>
    </xf>
    <xf numFmtId="0" fontId="1" fillId="10" borderId="6" xfId="0" applyFont="1" applyFill="1" applyBorder="1" applyAlignment="1">
      <alignment vertical="center"/>
    </xf>
    <xf numFmtId="0" fontId="0" fillId="0" borderId="0" xfId="0" pivotButton="1"/>
    <xf numFmtId="166" fontId="6" fillId="0" borderId="0" xfId="0" applyNumberFormat="1" applyFont="1"/>
    <xf numFmtId="0" fontId="6" fillId="0" borderId="0" xfId="0" applyFont="1"/>
    <xf numFmtId="164" fontId="6" fillId="0" borderId="0" xfId="1" applyFont="1"/>
    <xf numFmtId="0" fontId="0" fillId="0" borderId="0" xfId="0" applyAlignment="1">
      <alignment horizontal="left"/>
    </xf>
    <xf numFmtId="0" fontId="6" fillId="0" borderId="0" xfId="0" applyFont="1" applyAlignment="1">
      <alignment horizontal="left"/>
    </xf>
    <xf numFmtId="3" fontId="7" fillId="0" borderId="0" xfId="0" applyNumberFormat="1" applyFont="1"/>
    <xf numFmtId="0" fontId="1" fillId="10" borderId="7" xfId="0" applyFont="1" applyFill="1" applyBorder="1" applyAlignment="1">
      <alignment horizontal="center"/>
    </xf>
    <xf numFmtId="0" fontId="0" fillId="11" borderId="0" xfId="0" applyFill="1"/>
    <xf numFmtId="0" fontId="10" fillId="13" borderId="0" xfId="0" applyFont="1" applyFill="1" applyAlignment="1">
      <alignment horizontal="center"/>
    </xf>
    <xf numFmtId="0" fontId="8" fillId="13" borderId="0" xfId="0" applyFont="1" applyFill="1" applyAlignment="1">
      <alignment horizontal="center"/>
    </xf>
    <xf numFmtId="3" fontId="8" fillId="13" borderId="0" xfId="0" applyNumberFormat="1" applyFont="1" applyFill="1" applyAlignment="1">
      <alignment horizontal="center"/>
    </xf>
    <xf numFmtId="3" fontId="7" fillId="13" borderId="0" xfId="0" applyNumberFormat="1" applyFont="1" applyFill="1" applyAlignment="1">
      <alignment horizontal="center"/>
    </xf>
    <xf numFmtId="0" fontId="8" fillId="0" borderId="0" xfId="0" applyFont="1" applyAlignment="1">
      <alignment horizontal="center" vertical="center"/>
    </xf>
    <xf numFmtId="0" fontId="11" fillId="12" borderId="0" xfId="0" applyFont="1" applyFill="1"/>
    <xf numFmtId="0" fontId="13" fillId="12" borderId="0" xfId="0" applyFont="1" applyFill="1" applyAlignment="1">
      <alignment horizontal="left"/>
    </xf>
    <xf numFmtId="3" fontId="12" fillId="12" borderId="0" xfId="0" applyNumberFormat="1" applyFont="1" applyFill="1"/>
    <xf numFmtId="10" fontId="12" fillId="12" borderId="0" xfId="0" applyNumberFormat="1" applyFont="1" applyFill="1"/>
    <xf numFmtId="0" fontId="11" fillId="12" borderId="0" xfId="0" applyFont="1" applyFill="1" applyAlignment="1">
      <alignment horizontal="left"/>
    </xf>
    <xf numFmtId="0" fontId="14" fillId="14" borderId="0" xfId="0" applyFont="1" applyFill="1" applyAlignment="1">
      <alignment horizontal="center"/>
    </xf>
    <xf numFmtId="0" fontId="15" fillId="14" borderId="0" xfId="0" applyFont="1" applyFill="1" applyAlignment="1">
      <alignment horizontal="center"/>
    </xf>
    <xf numFmtId="3" fontId="15" fillId="14" borderId="0" xfId="0" applyNumberFormat="1" applyFont="1" applyFill="1" applyAlignment="1">
      <alignment horizontal="center"/>
    </xf>
    <xf numFmtId="0" fontId="16" fillId="0" borderId="0" xfId="0" applyFont="1" applyAlignment="1">
      <alignment horizontal="right"/>
    </xf>
    <xf numFmtId="0" fontId="17" fillId="0" borderId="0" xfId="0" applyFont="1" applyAlignment="1">
      <alignment horizontal="right"/>
    </xf>
    <xf numFmtId="3" fontId="18" fillId="0" borderId="0" xfId="0" applyNumberFormat="1" applyFont="1" applyAlignment="1">
      <alignment horizontal="right"/>
    </xf>
    <xf numFmtId="0" fontId="19" fillId="0" borderId="0" xfId="0" pivotButton="1" applyFont="1" applyAlignment="1">
      <alignment horizontal="center"/>
    </xf>
    <xf numFmtId="0" fontId="19" fillId="0" borderId="0" xfId="0" applyFont="1" applyAlignment="1">
      <alignment horizontal="center"/>
    </xf>
    <xf numFmtId="0" fontId="20" fillId="0" borderId="0" xfId="0" pivotButton="1" applyFont="1" applyAlignment="1">
      <alignment horizontal="right"/>
    </xf>
    <xf numFmtId="0" fontId="20" fillId="0" borderId="0" xfId="0" applyFont="1" applyAlignment="1">
      <alignment horizontal="right"/>
    </xf>
    <xf numFmtId="0" fontId="21" fillId="0" borderId="0" xfId="0" applyFont="1" applyAlignment="1">
      <alignment horizontal="right"/>
    </xf>
    <xf numFmtId="3" fontId="22" fillId="0" borderId="0" xfId="0" applyNumberFormat="1" applyFont="1" applyAlignment="1">
      <alignment horizontal="right"/>
    </xf>
    <xf numFmtId="0" fontId="9" fillId="0" borderId="0" xfId="0" pivotButton="1" applyFont="1" applyAlignment="1">
      <alignment horizontal="center"/>
    </xf>
    <xf numFmtId="0" fontId="9" fillId="0" borderId="0" xfId="0" applyFont="1" applyAlignment="1">
      <alignment horizontal="center"/>
    </xf>
    <xf numFmtId="3" fontId="9" fillId="0" borderId="0" xfId="0" applyNumberFormat="1" applyFont="1" applyAlignment="1">
      <alignment horizontal="center"/>
    </xf>
    <xf numFmtId="0" fontId="7" fillId="0" borderId="0" xfId="0" applyFont="1"/>
  </cellXfs>
  <cellStyles count="2">
    <cellStyle name="Comma" xfId="1" builtinId="3"/>
    <cellStyle name="Normal" xfId="0" builtinId="0"/>
  </cellStyles>
  <dxfs count="194">
    <dxf>
      <numFmt numFmtId="166" formatCode="#,##0_ ;[Red]\-#,##0\ "/>
    </dxf>
    <dxf>
      <font>
        <sz val="16"/>
      </font>
    </dxf>
    <dxf>
      <font>
        <b/>
      </font>
    </dxf>
    <dxf>
      <font>
        <sz val="16"/>
      </font>
    </dxf>
    <dxf>
      <font>
        <b/>
      </font>
    </dxf>
    <dxf>
      <font>
        <color theme="0"/>
      </font>
    </dxf>
    <dxf>
      <font>
        <color theme="0"/>
      </font>
    </dxf>
    <dxf>
      <font>
        <color theme="0"/>
      </font>
    </dxf>
    <dxf>
      <font>
        <color theme="0"/>
      </font>
    </dxf>
    <dxf>
      <font>
        <color theme="0"/>
      </font>
    </dxf>
    <dxf>
      <font>
        <color theme="0"/>
      </font>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numFmt numFmtId="14" formatCode="0.00%"/>
    </dxf>
    <dxf>
      <font>
        <sz val="18"/>
      </font>
    </dxf>
    <dxf>
      <font>
        <b/>
      </font>
    </dxf>
    <dxf>
      <numFmt numFmtId="3" formatCode="#,##0"/>
    </dxf>
    <dxf>
      <font>
        <sz val="20"/>
      </font>
    </dxf>
    <dxf>
      <font>
        <b/>
      </font>
    </dxf>
    <dxf>
      <font>
        <sz val="16"/>
      </font>
    </dxf>
    <dxf>
      <font>
        <b/>
      </font>
    </dxf>
    <dxf>
      <font>
        <color theme="8" tint="-0.499984740745262"/>
      </font>
    </dxf>
    <dxf>
      <font>
        <color theme="8" tint="-0.499984740745262"/>
      </font>
    </dxf>
    <dxf>
      <font>
        <color theme="8" tint="-0.499984740745262"/>
      </font>
    </dxf>
    <dxf>
      <font>
        <color theme="8" tint="-0.499984740745262"/>
      </font>
    </dxf>
    <dxf>
      <font>
        <color theme="8" tint="-0.499984740745262"/>
      </font>
    </dxf>
    <dxf>
      <font>
        <color theme="8" tint="-0.499984740745262"/>
      </font>
    </dxf>
    <dxf>
      <alignment horizontal="right"/>
    </dxf>
    <dxf>
      <alignment horizontal="right"/>
    </dxf>
    <dxf>
      <alignment horizontal="right"/>
    </dxf>
    <dxf>
      <alignment horizontal="right"/>
    </dxf>
    <dxf>
      <alignment horizontal="right"/>
    </dxf>
    <dxf>
      <alignment horizontal="right"/>
    </dxf>
    <dxf>
      <font>
        <sz val="16"/>
      </font>
    </dxf>
    <dxf>
      <font>
        <b/>
      </font>
    </dxf>
    <dxf>
      <numFmt numFmtId="3" formatCode="#,##0"/>
    </dxf>
    <dxf>
      <font>
        <sz val="20"/>
      </font>
    </dxf>
    <dxf>
      <font>
        <b/>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color theme="1" tint="4.9989318521683403E-2"/>
      </font>
    </dxf>
    <dxf>
      <font>
        <sz val="14"/>
      </font>
    </dxf>
    <dxf>
      <font>
        <sz val="14"/>
      </font>
    </dxf>
    <dxf>
      <font>
        <sz val="14"/>
      </font>
    </dxf>
    <dxf>
      <font>
        <sz val="14"/>
      </font>
    </dxf>
    <dxf>
      <font>
        <sz val="14"/>
      </font>
    </dxf>
    <dxf>
      <font>
        <sz val="14"/>
      </font>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fill>
        <patternFill patternType="solid">
          <bgColor theme="5" tint="0.39997558519241921"/>
        </patternFill>
      </fill>
    </dxf>
    <dxf>
      <alignment horizontal="center"/>
    </dxf>
    <dxf>
      <alignment horizontal="center"/>
    </dxf>
    <dxf>
      <alignment horizontal="center"/>
    </dxf>
    <dxf>
      <alignment horizontal="center"/>
    </dxf>
    <dxf>
      <alignment horizontal="center"/>
    </dxf>
    <dxf>
      <alignment horizontal="center"/>
    </dxf>
    <dxf>
      <font>
        <sz val="14"/>
      </font>
    </dxf>
    <dxf>
      <font>
        <b/>
      </font>
    </dxf>
    <dxf>
      <numFmt numFmtId="3" formatCode="#,##0"/>
    </dxf>
    <dxf>
      <font>
        <sz val="20"/>
      </font>
    </dxf>
    <dxf>
      <font>
        <b/>
      </font>
    </dxf>
    <dxf>
      <numFmt numFmtId="166" formatCode="#,##0_ ;[Red]\-#,##0\ "/>
    </dxf>
    <dxf>
      <font>
        <sz val="16"/>
      </font>
    </dxf>
    <dxf>
      <font>
        <b/>
      </font>
    </dxf>
    <dxf>
      <font>
        <sz val="16"/>
      </font>
    </dxf>
    <dxf>
      <font>
        <b/>
      </font>
    </dxf>
    <dxf>
      <font>
        <sz val="16"/>
      </font>
    </dxf>
    <dxf>
      <font>
        <b/>
      </font>
    </dxf>
    <dxf>
      <numFmt numFmtId="3" formatCode="#,##0"/>
    </dxf>
    <dxf>
      <font>
        <sz val="20"/>
      </font>
    </dxf>
    <dxf>
      <font>
        <b/>
      </font>
    </dxf>
    <dxf>
      <alignment horizontal="center"/>
    </dxf>
    <dxf>
      <alignment horizontal="center"/>
    </dxf>
    <dxf>
      <alignment horizontal="center"/>
    </dxf>
    <dxf>
      <alignment horizontal="center"/>
    </dxf>
    <dxf>
      <alignment horizontal="center"/>
    </dxf>
    <dxf>
      <alignment horizontal="center"/>
    </dxf>
    <dxf>
      <font>
        <sz val="18"/>
      </font>
    </dxf>
    <dxf>
      <font>
        <sz val="18"/>
      </font>
    </dxf>
    <dxf>
      <font>
        <sz val="18"/>
      </font>
    </dxf>
    <dxf>
      <font>
        <sz val="18"/>
      </font>
    </dxf>
    <dxf>
      <font>
        <sz val="18"/>
      </font>
    </dxf>
    <dxf>
      <font>
        <sz val="18"/>
      </font>
    </dxf>
    <dxf>
      <font>
        <b/>
      </font>
    </dxf>
    <dxf>
      <font>
        <b/>
      </font>
    </dxf>
    <dxf>
      <font>
        <b/>
      </font>
    </dxf>
    <dxf>
      <font>
        <b/>
      </font>
    </dxf>
    <dxf>
      <font>
        <b/>
      </font>
    </dxf>
    <dxf>
      <font>
        <b/>
      </font>
    </dxf>
    <dxf>
      <numFmt numFmtId="3" formatCode="#,##0"/>
    </dxf>
    <dxf>
      <font>
        <sz val="20"/>
      </font>
    </dxf>
    <dxf>
      <font>
        <b/>
      </font>
    </dxf>
    <dxf>
      <numFmt numFmtId="166" formatCode="#,##0_ ;[Red]\-#,##0\ "/>
    </dxf>
    <dxf>
      <font>
        <sz val="16"/>
      </font>
    </dxf>
    <dxf>
      <font>
        <b/>
      </font>
    </dxf>
    <dxf>
      <numFmt numFmtId="166" formatCode="#,##0_ ;[Red]\-#,##0\ "/>
    </dxf>
    <dxf>
      <font>
        <sz val="16"/>
      </font>
    </dxf>
    <dxf>
      <font>
        <b/>
      </font>
    </dxf>
    <dxf>
      <font>
        <sz val="16"/>
      </font>
    </dxf>
    <dxf>
      <font>
        <b/>
      </font>
    </dxf>
    <dxf>
      <numFmt numFmtId="166" formatCode="#,##0_ ;[Red]\-#,##0\ "/>
    </dxf>
    <dxf>
      <font>
        <sz val="16"/>
      </font>
    </dxf>
    <dxf>
      <font>
        <b/>
      </font>
    </dxf>
    <dxf>
      <font>
        <sz val="16"/>
      </font>
    </dxf>
    <dxf>
      <font>
        <b/>
      </font>
    </dxf>
    <dxf>
      <font>
        <sz val="20"/>
      </font>
    </dxf>
    <dxf>
      <font>
        <b/>
      </font>
    </dxf>
    <dxf>
      <alignment horizontal="center"/>
    </dxf>
    <dxf>
      <alignment horizontal="center"/>
    </dxf>
    <dxf>
      <font>
        <sz val="16"/>
      </font>
    </dxf>
    <dxf>
      <font>
        <sz val="16"/>
      </font>
    </dxf>
    <dxf>
      <font>
        <color theme="0"/>
      </font>
    </dxf>
    <dxf>
      <font>
        <color theme="0"/>
      </font>
    </dxf>
    <dxf>
      <font>
        <color theme="1" tint="4.9989318521683403E-2"/>
      </font>
    </dxf>
    <dxf>
      <font>
        <color theme="1" tint="4.9989318521683403E-2"/>
      </font>
    </dxf>
    <dxf>
      <font>
        <color theme="1" tint="4.9989318521683403E-2"/>
      </font>
    </dxf>
    <dxf>
      <font>
        <color theme="1" tint="4.9989318521683403E-2"/>
      </font>
    </dxf>
    <dxf>
      <alignment horizontal="right"/>
    </dxf>
    <dxf>
      <alignment horizontal="right"/>
    </dxf>
    <dxf>
      <alignment horizontal="right"/>
    </dxf>
    <dxf>
      <alignment horizontal="right"/>
    </dxf>
    <dxf>
      <alignment horizontal="right"/>
    </dxf>
    <dxf>
      <alignment horizontal="right"/>
    </dxf>
    <dxf>
      <font>
        <sz val="16"/>
      </font>
    </dxf>
    <dxf>
      <font>
        <b/>
      </font>
    </dxf>
    <dxf>
      <numFmt numFmtId="3" formatCode="#,##0"/>
    </dxf>
    <dxf>
      <font>
        <sz val="20"/>
      </font>
    </dxf>
    <dxf>
      <font>
        <b/>
      </font>
    </dxf>
    <dxf>
      <font>
        <color theme="1"/>
      </font>
    </dxf>
    <dxf>
      <font>
        <color theme="1"/>
      </font>
    </dxf>
    <dxf>
      <font>
        <color theme="1"/>
      </font>
    </dxf>
    <dxf>
      <font>
        <color theme="1"/>
      </font>
    </dxf>
    <dxf>
      <font>
        <color theme="1"/>
      </font>
    </dxf>
    <dxf>
      <font>
        <color theme="1"/>
      </font>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fill>
        <patternFill patternType="solid">
          <bgColor theme="1"/>
        </patternFill>
      </fill>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font>
        <b/>
      </font>
    </dxf>
    <dxf>
      <font>
        <b/>
      </font>
    </dxf>
    <dxf>
      <font>
        <sz val="14"/>
      </font>
    </dxf>
    <dxf>
      <numFmt numFmtId="3" formatCode="#,##0"/>
    </dxf>
    <dxf>
      <font>
        <sz val="20"/>
      </font>
    </dxf>
    <dxf>
      <font>
        <b/>
      </font>
    </dxf>
    <dxf>
      <font>
        <b/>
        <i val="0"/>
        <strike val="0"/>
        <condense val="0"/>
        <extend val="0"/>
        <outline val="0"/>
        <shadow val="0"/>
        <u val="none"/>
        <vertAlign val="baseline"/>
        <sz val="16"/>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6"/>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6"/>
        <color auto="1"/>
        <name val="Arial"/>
        <family val="2"/>
        <scheme val="none"/>
      </font>
      <fill>
        <patternFill patternType="solid">
          <fgColor indexed="64"/>
          <bgColor indexed="13"/>
        </patternFill>
      </fill>
      <alignment horizontal="center" vertical="bottom" textRotation="0" wrapText="0" indent="0" justifyLastLine="0" shrinkToFit="0" readingOrder="0"/>
      <border diagonalUp="0" diagonalDown="0">
        <left style="double">
          <color indexed="64"/>
        </left>
        <right style="thick">
          <color indexed="64"/>
        </right>
        <top style="double">
          <color indexed="64"/>
        </top>
        <bottom style="double">
          <color indexed="64"/>
        </bottom>
        <vertical/>
        <horizontal/>
      </border>
    </dxf>
    <dxf>
      <font>
        <b/>
        <i val="0"/>
        <strike val="0"/>
        <condense val="0"/>
        <extend val="0"/>
        <outline val="0"/>
        <shadow val="0"/>
        <u val="none"/>
        <vertAlign val="baseline"/>
        <sz val="16"/>
        <color auto="1"/>
        <name val="Arial"/>
        <family val="2"/>
        <scheme val="none"/>
      </font>
      <alignment horizontal="center" vertical="bottom"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i val="0"/>
        <strike val="0"/>
        <condense val="0"/>
        <extend val="0"/>
        <outline val="0"/>
        <shadow val="0"/>
        <u val="none"/>
        <vertAlign val="baseline"/>
        <sz val="16"/>
        <color auto="1"/>
        <name val="Arial"/>
        <family val="2"/>
        <scheme val="none"/>
      </font>
      <alignment horizontal="center" vertical="bottom"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i val="0"/>
        <strike val="0"/>
        <condense val="0"/>
        <extend val="0"/>
        <outline val="0"/>
        <shadow val="0"/>
        <u val="none"/>
        <vertAlign val="baseline"/>
        <sz val="16"/>
        <color auto="1"/>
        <name val="Arial"/>
        <family val="2"/>
        <scheme val="none"/>
      </font>
      <fill>
        <patternFill patternType="solid">
          <fgColor indexed="64"/>
          <bgColor indexed="13"/>
        </patternFill>
      </fill>
      <alignment horizontal="center" vertical="bottom"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i val="0"/>
        <strike val="0"/>
        <condense val="0"/>
        <extend val="0"/>
        <outline val="0"/>
        <shadow val="0"/>
        <u val="none"/>
        <vertAlign val="baseline"/>
        <sz val="16"/>
        <color auto="1"/>
        <name val="Arial"/>
        <family val="2"/>
        <scheme val="none"/>
      </font>
      <alignment horizontal="center" vertical="bottom"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i val="0"/>
        <strike val="0"/>
        <condense val="0"/>
        <extend val="0"/>
        <outline val="0"/>
        <shadow val="0"/>
        <u val="none"/>
        <vertAlign val="baseline"/>
        <sz val="16"/>
        <color auto="1"/>
        <name val="Arial"/>
        <family val="2"/>
        <scheme val="none"/>
      </font>
      <alignment horizontal="center" vertical="bottom"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i val="0"/>
        <strike val="0"/>
        <condense val="0"/>
        <extend val="0"/>
        <outline val="0"/>
        <shadow val="0"/>
        <u val="none"/>
        <vertAlign val="baseline"/>
        <sz val="16"/>
        <color auto="1"/>
        <name val="Arial"/>
        <family val="2"/>
        <scheme val="none"/>
      </font>
      <fill>
        <patternFill patternType="solid">
          <fgColor indexed="64"/>
          <bgColor indexed="13"/>
        </patternFill>
      </fill>
      <alignment horizontal="center" vertical="bottom"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i val="0"/>
        <strike val="0"/>
        <condense val="0"/>
        <extend val="0"/>
        <outline val="0"/>
        <shadow val="0"/>
        <u val="none"/>
        <vertAlign val="baseline"/>
        <sz val="16"/>
        <color auto="1"/>
        <name val="Arial"/>
        <family val="2"/>
        <scheme val="none"/>
      </font>
      <alignment horizontal="center" vertical="bottom"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i val="0"/>
        <strike val="0"/>
        <condense val="0"/>
        <extend val="0"/>
        <outline val="0"/>
        <shadow val="0"/>
        <u val="none"/>
        <vertAlign val="baseline"/>
        <sz val="16"/>
        <color auto="1"/>
        <name val="Arial"/>
        <family val="2"/>
        <scheme val="none"/>
      </font>
      <fill>
        <patternFill patternType="solid">
          <fgColor indexed="64"/>
          <bgColor indexed="13"/>
        </patternFill>
      </fill>
      <alignment horizontal="center" vertical="bottom"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i val="0"/>
        <strike val="0"/>
        <condense val="0"/>
        <extend val="0"/>
        <outline val="0"/>
        <shadow val="0"/>
        <u val="none"/>
        <vertAlign val="baseline"/>
        <sz val="16"/>
        <color auto="1"/>
        <name val="Arial"/>
        <family val="2"/>
        <scheme val="none"/>
      </font>
      <alignment horizontal="center" vertical="bottom"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i val="0"/>
        <strike val="0"/>
        <condense val="0"/>
        <extend val="0"/>
        <outline val="0"/>
        <shadow val="0"/>
        <u val="none"/>
        <vertAlign val="baseline"/>
        <sz val="16"/>
        <color auto="1"/>
        <name val="Arial"/>
        <family val="2"/>
        <scheme val="none"/>
      </font>
      <alignment horizontal="center" vertical="bottom"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i val="0"/>
        <strike val="0"/>
        <condense val="0"/>
        <extend val="0"/>
        <outline val="0"/>
        <shadow val="0"/>
        <u val="none"/>
        <vertAlign val="baseline"/>
        <sz val="16"/>
        <color auto="1"/>
        <name val="Arial"/>
        <family val="2"/>
        <scheme val="none"/>
      </font>
      <alignment horizontal="center" vertical="bottom"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i val="0"/>
        <strike val="0"/>
        <condense val="0"/>
        <extend val="0"/>
        <outline val="0"/>
        <shadow val="0"/>
        <u val="none"/>
        <vertAlign val="baseline"/>
        <sz val="16"/>
        <color auto="1"/>
        <name val="Arial"/>
        <family val="2"/>
        <scheme val="none"/>
      </font>
      <alignment horizontal="center" vertical="bottom"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i val="0"/>
        <strike val="0"/>
        <condense val="0"/>
        <extend val="0"/>
        <outline val="0"/>
        <shadow val="0"/>
        <u val="none"/>
        <vertAlign val="baseline"/>
        <sz val="16"/>
        <color auto="1"/>
        <name val="Arial"/>
        <family val="2"/>
        <scheme val="none"/>
      </font>
      <numFmt numFmtId="167" formatCode="dd/mm/yyyy"/>
      <alignment horizontal="left" vertical="bottom" textRotation="0" wrapText="0" indent="0" justifyLastLine="0" shrinkToFit="0" readingOrder="0"/>
      <border diagonalUp="0" diagonalDown="0">
        <left style="double">
          <color indexed="64"/>
        </left>
        <right style="double">
          <color indexed="64"/>
        </right>
        <top style="double">
          <color indexed="64"/>
        </top>
        <bottom style="double">
          <color indexed="64"/>
        </bottom>
        <vertical/>
        <horizontal/>
      </border>
    </dxf>
    <dxf>
      <font>
        <b/>
        <i val="0"/>
        <strike val="0"/>
        <condense val="0"/>
        <extend val="0"/>
        <outline val="0"/>
        <shadow val="0"/>
        <u val="none"/>
        <vertAlign val="baseline"/>
        <sz val="16"/>
        <color auto="1"/>
        <name val="Arial"/>
        <family val="2"/>
        <scheme val="none"/>
      </font>
      <alignment horizontal="general" vertical="center" textRotation="0" wrapText="0" indent="0" justifyLastLine="0" shrinkToFit="0" readingOrder="0"/>
      <border diagonalUp="0" diagonalDown="0">
        <left/>
        <right style="double">
          <color indexed="64"/>
        </right>
        <top style="double">
          <color indexed="64"/>
        </top>
        <bottom style="double">
          <color indexed="64"/>
        </bottom>
        <vertical/>
        <horizontal/>
      </border>
    </dxf>
    <dxf>
      <border outline="0">
        <bottom style="double">
          <color indexed="64"/>
        </bottom>
      </border>
    </dxf>
    <dxf>
      <font>
        <b/>
        <i val="0"/>
        <strike val="0"/>
        <condense val="0"/>
        <extend val="0"/>
        <outline val="0"/>
        <shadow val="0"/>
        <u val="none"/>
        <vertAlign val="baseline"/>
        <sz val="16"/>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6"/>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6"/>
        <color auto="1"/>
        <name val="Arial"/>
        <family val="2"/>
        <scheme val="none"/>
      </font>
      <alignment horizontal="general" vertical="center" textRotation="0" wrapText="0" indent="0" justifyLastLine="0" shrinkToFit="0" readingOrder="0"/>
    </dxf>
    <dxf>
      <font>
        <b/>
        <i val="0"/>
        <strike val="0"/>
        <condense val="0"/>
        <extend val="0"/>
        <outline val="0"/>
        <shadow val="0"/>
        <u val="none"/>
        <vertAlign val="baseline"/>
        <sz val="16"/>
        <color auto="1"/>
        <name val="Arial"/>
        <family val="2"/>
        <scheme val="none"/>
      </font>
      <alignment horizontal="center" vertical="center" textRotation="0" wrapText="0" indent="0" justifyLastLine="0" shrinkToFit="0" readingOrder="0"/>
    </dxf>
  </dxfs>
  <tableStyles count="1" defaultTableStyle="TableStyleMedium2" defaultPivotStyle="PivotStyleLight16">
    <tableStyle name="Invisible" pivot="0" table="0" count="0" xr9:uid="{3D4E3FC3-1063-4138-89CE-355B5C91B44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eetMetadata" Target="metadata.xml"/><Relationship Id="rId33"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32" Type="http://schemas.openxmlformats.org/officeDocument/2006/relationships/customXml" Target="../customXml/item5.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pivotCacheDefinition" Target="pivotCache/pivotCacheDefinition6.xml"/><Relationship Id="rId19" Type="http://schemas.openxmlformats.org/officeDocument/2006/relationships/pivotCacheDefinition" Target="pivotCache/pivotCacheDefinition15.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alcChain" Target="calcChain.xml"/><Relationship Id="rId30" Type="http://schemas.openxmlformats.org/officeDocument/2006/relationships/customXml" Target="../customXml/item3.xml"/><Relationship Id="rId8"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[Sales2025.xlsx]Pivot Table!PivotTable12</c:name>
    <c:fmtId val="3"/>
  </c:pivotSource>
  <c:chart>
    <c:title>
      <c:tx>
        <c:rich>
          <a:bodyPr rot="0" spcFirstLastPara="1" vertOverflow="ellipsis" vert="horz" wrap="square" anchor="ctr" anchorCtr="1"/>
          <a:lstStyle/>
          <a:p>
            <a:pPr>
              <a:defRPr sz="1500" b="1" i="0" u="none" strike="noStrike" kern="1200" spc="0" baseline="0">
                <a:solidFill>
                  <a:schemeClr val="bg1"/>
                </a:solidFill>
                <a:latin typeface="+mn-lt"/>
                <a:ea typeface="+mn-ea"/>
                <a:cs typeface="+mn-cs"/>
              </a:defRPr>
            </a:pPr>
            <a:r>
              <a:rPr lang="en-US" sz="1500" b="1">
                <a:solidFill>
                  <a:schemeClr val="bg1"/>
                </a:solidFill>
              </a:rPr>
              <a:t> </a:t>
            </a:r>
            <a:r>
              <a:rPr lang="ar-EG" sz="1500" b="1">
                <a:solidFill>
                  <a:schemeClr val="bg1"/>
                </a:solidFill>
              </a:rPr>
              <a:t>مسحوبات</a:t>
            </a:r>
            <a:r>
              <a:rPr lang="ar-EG" sz="1500" b="1" baseline="0">
                <a:solidFill>
                  <a:schemeClr val="bg1"/>
                </a:solidFill>
              </a:rPr>
              <a:t> العصير والكميات</a:t>
            </a:r>
            <a:endParaRPr lang="en-US" sz="1500" b="1">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5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dLbl>
          <c:idx val="0"/>
          <c:layout>
            <c:manualLayout>
              <c:x val="-8.9546872330915841E-17"/>
              <c:y val="5.9102892551406716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dLbl>
          <c:idx val="0"/>
          <c:layout>
            <c:manualLayout>
              <c:x val="1.2211078197821775E-2"/>
              <c:y val="-5.9102892551406827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 Table'!$AF$3</c:f>
              <c:strCache>
                <c:ptCount val="1"/>
                <c:pt idx="0">
                  <c:v>المبلغ</c:v>
                </c:pt>
              </c:strCache>
            </c:strRef>
          </c:tx>
          <c:spPr>
            <a:solidFill>
              <a:schemeClr val="accent2"/>
            </a:solidFill>
            <a:ln>
              <a:noFill/>
            </a:ln>
            <a:effectLst/>
          </c:spPr>
          <c:invertIfNegative val="0"/>
          <c:dPt>
            <c:idx val="3"/>
            <c:invertIfNegative val="0"/>
            <c:bubble3D val="0"/>
            <c:extLst>
              <c:ext xmlns:c16="http://schemas.microsoft.com/office/drawing/2014/chart" uri="{C3380CC4-5D6E-409C-BE32-E72D297353CC}">
                <c16:uniqueId val="{00000001-90EC-42B2-B5ED-A7C0B1546EA8}"/>
              </c:ext>
            </c:extLst>
          </c:dPt>
          <c:dPt>
            <c:idx val="4"/>
            <c:invertIfNegative val="0"/>
            <c:bubble3D val="0"/>
            <c:extLst>
              <c:ext xmlns:c16="http://schemas.microsoft.com/office/drawing/2014/chart" uri="{C3380CC4-5D6E-409C-BE32-E72D297353CC}">
                <c16:uniqueId val="{00000000-90EC-42B2-B5ED-A7C0B1546EA8}"/>
              </c:ext>
            </c:extLst>
          </c:dPt>
          <c:dLbls>
            <c:dLbl>
              <c:idx val="3"/>
              <c:layout>
                <c:manualLayout>
                  <c:x val="1.2211078197821775E-2"/>
                  <c:y val="-5.9102892551406827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0EC-42B2-B5ED-A7C0B1546EA8}"/>
                </c:ext>
              </c:extLst>
            </c:dLbl>
            <c:dLbl>
              <c:idx val="4"/>
              <c:layout>
                <c:manualLayout>
                  <c:x val="-8.9546872330915841E-17"/>
                  <c:y val="5.9102892551406716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0EC-42B2-B5ED-A7C0B1546EA8}"/>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bg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Table'!$AE$4:$AE$13</c:f>
              <c:strCache>
                <c:ptCount val="9"/>
                <c:pt idx="0">
                  <c:v>عصير بيتى 235 ملى</c:v>
                </c:pt>
                <c:pt idx="1">
                  <c:v>عصير كل يوم 200 ملى</c:v>
                </c:pt>
                <c:pt idx="2">
                  <c:v>عصير بيتى 1 لتر (جوافة و تفاح و كوكتيل)</c:v>
                </c:pt>
                <c:pt idx="3">
                  <c:v>عصير بيتى 1 لتر (مانجو و اناناس وبرتقال)</c:v>
                </c:pt>
                <c:pt idx="4">
                  <c:v>عصير بيتى  1 لتر (مانجو ) عرض</c:v>
                </c:pt>
                <c:pt idx="5">
                  <c:v>عصير المراعى 1 لتر (مانجو )</c:v>
                </c:pt>
                <c:pt idx="6">
                  <c:v>عصير كل يوم 225ملى</c:v>
                </c:pt>
                <c:pt idx="7">
                  <c:v>عصير المراعى 1 لتر (اطعم مختلفة )</c:v>
                </c:pt>
                <c:pt idx="8">
                  <c:v>عصير المراعى 235 ملل</c:v>
                </c:pt>
              </c:strCache>
            </c:strRef>
          </c:cat>
          <c:val>
            <c:numRef>
              <c:f>'Pivot Table'!$AF$4:$AF$13</c:f>
              <c:numCache>
                <c:formatCode>#,##0</c:formatCode>
                <c:ptCount val="9"/>
                <c:pt idx="0">
                  <c:v>2000559.48</c:v>
                </c:pt>
                <c:pt idx="1">
                  <c:v>1045396.26</c:v>
                </c:pt>
                <c:pt idx="2">
                  <c:v>409159.4</c:v>
                </c:pt>
                <c:pt idx="3">
                  <c:v>176754.38</c:v>
                </c:pt>
                <c:pt idx="4">
                  <c:v>52108</c:v>
                </c:pt>
                <c:pt idx="5">
                  <c:v>38212.22</c:v>
                </c:pt>
                <c:pt idx="6">
                  <c:v>15200</c:v>
                </c:pt>
                <c:pt idx="7">
                  <c:v>7425.52</c:v>
                </c:pt>
                <c:pt idx="8">
                  <c:v>3630</c:v>
                </c:pt>
              </c:numCache>
            </c:numRef>
          </c:val>
          <c:extLst>
            <c:ext xmlns:c16="http://schemas.microsoft.com/office/drawing/2014/chart" uri="{C3380CC4-5D6E-409C-BE32-E72D297353CC}">
              <c16:uniqueId val="{00000000-A591-4428-87DF-E4EE5CC41D8A}"/>
            </c:ext>
          </c:extLst>
        </c:ser>
        <c:ser>
          <c:idx val="1"/>
          <c:order val="1"/>
          <c:tx>
            <c:strRef>
              <c:f>'Pivot Table'!$AG$3</c:f>
              <c:strCache>
                <c:ptCount val="1"/>
                <c:pt idx="0">
                  <c:v> الكمية</c:v>
                </c:pt>
              </c:strCache>
            </c:strRef>
          </c:tx>
          <c:spPr>
            <a:solidFill>
              <a:schemeClr val="accent1"/>
            </a:solidFill>
            <a:ln>
              <a:noFill/>
            </a:ln>
            <a:effectLst/>
          </c:spPr>
          <c:invertIfNegative val="0"/>
          <c:dLbls>
            <c:spPr>
              <a:solidFill>
                <a:schemeClr val="bg1"/>
              </a:solid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Table'!$AE$4:$AE$13</c:f>
              <c:strCache>
                <c:ptCount val="9"/>
                <c:pt idx="0">
                  <c:v>عصير بيتى 235 ملى</c:v>
                </c:pt>
                <c:pt idx="1">
                  <c:v>عصير كل يوم 200 ملى</c:v>
                </c:pt>
                <c:pt idx="2">
                  <c:v>عصير بيتى 1 لتر (جوافة و تفاح و كوكتيل)</c:v>
                </c:pt>
                <c:pt idx="3">
                  <c:v>عصير بيتى 1 لتر (مانجو و اناناس وبرتقال)</c:v>
                </c:pt>
                <c:pt idx="4">
                  <c:v>عصير بيتى  1 لتر (مانجو ) عرض</c:v>
                </c:pt>
                <c:pt idx="5">
                  <c:v>عصير المراعى 1 لتر (مانجو )</c:v>
                </c:pt>
                <c:pt idx="6">
                  <c:v>عصير كل يوم 225ملى</c:v>
                </c:pt>
                <c:pt idx="7">
                  <c:v>عصير المراعى 1 لتر (اطعم مختلفة )</c:v>
                </c:pt>
                <c:pt idx="8">
                  <c:v>عصير المراعى 235 ملل</c:v>
                </c:pt>
              </c:strCache>
            </c:strRef>
          </c:cat>
          <c:val>
            <c:numRef>
              <c:f>'Pivot Table'!$AG$4:$AG$13</c:f>
              <c:numCache>
                <c:formatCode>#,##0</c:formatCode>
                <c:ptCount val="9"/>
                <c:pt idx="0">
                  <c:v>8334</c:v>
                </c:pt>
                <c:pt idx="1">
                  <c:v>7772</c:v>
                </c:pt>
                <c:pt idx="2">
                  <c:v>1386</c:v>
                </c:pt>
                <c:pt idx="3">
                  <c:v>519</c:v>
                </c:pt>
                <c:pt idx="4">
                  <c:v>176</c:v>
                </c:pt>
                <c:pt idx="5">
                  <c:v>106</c:v>
                </c:pt>
                <c:pt idx="6">
                  <c:v>100</c:v>
                </c:pt>
                <c:pt idx="7">
                  <c:v>21</c:v>
                </c:pt>
                <c:pt idx="8">
                  <c:v>10</c:v>
                </c:pt>
              </c:numCache>
            </c:numRef>
          </c:val>
          <c:extLst>
            <c:ext xmlns:c16="http://schemas.microsoft.com/office/drawing/2014/chart" uri="{C3380CC4-5D6E-409C-BE32-E72D297353CC}">
              <c16:uniqueId val="{00000001-A591-4428-87DF-E4EE5CC41D8A}"/>
            </c:ext>
          </c:extLst>
        </c:ser>
        <c:dLbls>
          <c:dLblPos val="ctr"/>
          <c:showLegendKey val="0"/>
          <c:showVal val="1"/>
          <c:showCatName val="0"/>
          <c:showSerName val="0"/>
          <c:showPercent val="0"/>
          <c:showBubbleSize val="0"/>
        </c:dLbls>
        <c:gapWidth val="150"/>
        <c:overlap val="100"/>
        <c:axId val="1927517743"/>
        <c:axId val="1927518223"/>
      </c:barChart>
      <c:catAx>
        <c:axId val="1927517743"/>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1927518223"/>
        <c:crosses val="autoZero"/>
        <c:auto val="1"/>
        <c:lblAlgn val="ctr"/>
        <c:lblOffset val="100"/>
        <c:noMultiLvlLbl val="0"/>
      </c:catAx>
      <c:valAx>
        <c:axId val="1927518223"/>
        <c:scaling>
          <c:orientation val="minMax"/>
        </c:scaling>
        <c:delete val="1"/>
        <c:axPos val="l"/>
        <c:numFmt formatCode="0%" sourceLinked="1"/>
        <c:majorTickMark val="none"/>
        <c:minorTickMark val="none"/>
        <c:tickLblPos val="nextTo"/>
        <c:crossAx val="1927517743"/>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[Sales2025.xlsx]Pivot Table!PivotTable9</c:name>
    <c:fmtId val="2"/>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ar-EG" sz="1600" b="1">
                <a:solidFill>
                  <a:schemeClr val="bg1"/>
                </a:solidFill>
              </a:rPr>
              <a:t>اجمالى المسحوبات شهور</a:t>
            </a:r>
            <a:endParaRPr lang="en-US" sz="1600" b="1">
              <a:solidFill>
                <a:schemeClr val="bg1"/>
              </a:solidFill>
            </a:endParaRPr>
          </a:p>
        </c:rich>
      </c:tx>
      <c:overlay val="0"/>
      <c:spPr>
        <a:solidFill>
          <a:schemeClr val="tx1"/>
        </a:solidFill>
        <a:ln>
          <a:noFill/>
        </a:ln>
        <a:effectLst/>
      </c:spPr>
    </c:title>
    <c:autoTitleDeleted val="0"/>
    <c:pivotFmts>
      <c:pivotFmt>
        <c:idx val="0"/>
        <c:spPr>
          <a:ln w="28575" cap="rnd">
            <a:solidFill>
              <a:schemeClr val="accent4"/>
            </a:solidFill>
            <a:round/>
          </a:ln>
          <a:effectLst/>
        </c:spPr>
        <c:marker>
          <c:symbol val="triangle"/>
          <c:size val="12"/>
          <c:spPr>
            <a:solidFill>
              <a:schemeClr val="accent5"/>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4"/>
            </a:solidFill>
            <a:round/>
          </a:ln>
          <a:effectLst/>
        </c:spPr>
        <c:marker>
          <c:symbol val="triangle"/>
          <c:size val="12"/>
          <c:spPr>
            <a:solidFill>
              <a:schemeClr val="accent5"/>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layout>
            <c:manualLayout>
              <c:x val="-7.9611111111111105E-2"/>
              <c:y val="0.106516112569262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4"/>
            </a:solidFill>
            <a:round/>
          </a:ln>
          <a:effectLst/>
        </c:spPr>
        <c:marker>
          <c:symbol val="triangle"/>
          <c:size val="12"/>
          <c:spPr>
            <a:solidFill>
              <a:schemeClr val="accent5"/>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layout>
            <c:manualLayout>
              <c:x val="-8.2388888888888873E-2"/>
              <c:y val="-3.70024059492563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accent4"/>
            </a:solidFill>
            <a:round/>
          </a:ln>
          <a:effectLst/>
        </c:spPr>
        <c:marker>
          <c:symbol val="triangle"/>
          <c:size val="12"/>
          <c:spPr>
            <a:solidFill>
              <a:schemeClr val="accent5"/>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layout>
            <c:manualLayout>
              <c:x val="-6.8500000000000005E-2"/>
              <c:y val="6.48494459025955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triangle"/>
          <c:size val="12"/>
          <c:spPr>
            <a:solidFill>
              <a:schemeClr val="accent5"/>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layout>
            <c:manualLayout>
              <c:x val="-0.12683333333333333"/>
              <c:y val="8.33679644211139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4"/>
            </a:solidFill>
            <a:round/>
          </a:ln>
          <a:effectLst/>
        </c:spPr>
        <c:marker>
          <c:symbol val="triangle"/>
          <c:size val="12"/>
          <c:spPr>
            <a:solidFill>
              <a:schemeClr val="accent5"/>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layout>
            <c:manualLayout>
              <c:x val="-6.8500000000000005E-2"/>
              <c:y val="6.9479075532225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4"/>
            </a:solidFill>
            <a:round/>
          </a:ln>
          <a:effectLst/>
        </c:spPr>
        <c:marker>
          <c:symbol val="triangle"/>
          <c:size val="12"/>
          <c:spPr>
            <a:solidFill>
              <a:schemeClr val="accent5"/>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layout>
            <c:manualLayout>
              <c:x val="-5.4611111111111214E-2"/>
              <c:y val="8.79975940507436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28575" cap="rnd">
            <a:solidFill>
              <a:schemeClr val="accent4"/>
            </a:solidFill>
            <a:round/>
          </a:ln>
          <a:effectLst/>
        </c:spPr>
        <c:marker>
          <c:symbol val="triangle"/>
          <c:size val="12"/>
          <c:spPr>
            <a:solidFill>
              <a:schemeClr val="accent5"/>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layout>
            <c:manualLayout>
              <c:x val="-9.6277777777777879E-2"/>
              <c:y val="8.79975940507436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ln w="28575" cap="rnd">
            <a:solidFill>
              <a:schemeClr val="accent4"/>
            </a:solidFill>
            <a:round/>
          </a:ln>
          <a:effectLst/>
        </c:spPr>
        <c:marker>
          <c:symbol val="triangle"/>
          <c:size val="12"/>
          <c:spPr>
            <a:solidFill>
              <a:schemeClr val="accent5"/>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layout>
            <c:manualLayout>
              <c:x val="-1.1758530183728052E-3"/>
              <c:y val="7.873833479148439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pivotFmt>
      <c:pivotFmt>
        <c:idx val="11"/>
      </c:pivotFmt>
      <c:pivotFmt>
        <c:idx val="12"/>
      </c:pivotFmt>
      <c:pivotFmt>
        <c:idx val="13"/>
        <c:spPr>
          <a:ln w="28575" cap="rnd">
            <a:solidFill>
              <a:schemeClr val="accent2"/>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pivotFmt>
      <c:pivotFmt>
        <c:idx val="15"/>
        <c:spPr>
          <a:ln w="28575" cap="rnd">
            <a:solidFill>
              <a:schemeClr val="accent4"/>
            </a:solidFill>
            <a:round/>
          </a:ln>
          <a:effectLst/>
        </c:spPr>
        <c:marker>
          <c:symbol val="triangle"/>
          <c:size val="12"/>
          <c:spPr>
            <a:solidFill>
              <a:schemeClr val="accent5"/>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dLbl>
          <c:idx val="0"/>
          <c:layout>
            <c:manualLayout>
              <c:x val="-7.9611111111111105E-2"/>
              <c:y val="0.10651611256926209"/>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7"/>
        <c:dLbl>
          <c:idx val="0"/>
          <c:layout>
            <c:manualLayout>
              <c:x val="-8.2388888888888873E-2"/>
              <c:y val="-3.700240594925634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28575" cap="rnd">
            <a:solidFill>
              <a:schemeClr val="accent1"/>
            </a:solidFill>
            <a:round/>
          </a:ln>
          <a:effectLst/>
        </c:spPr>
        <c:dLbl>
          <c:idx val="0"/>
          <c:layout>
            <c:manualLayout>
              <c:x val="-0.12683333333333333"/>
              <c:y val="8.33679644211139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6.8500000000000005E-2"/>
              <c:y val="6.484944590259550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dLbl>
          <c:idx val="0"/>
          <c:layout>
            <c:manualLayout>
              <c:x val="-6.8500000000000005E-2"/>
              <c:y val="6.94790755322251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9.6277777777777879E-2"/>
              <c:y val="8.79975940507436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5.4611111111111214E-2"/>
              <c:y val="8.79975940507436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3"/>
        <c:spPr>
          <a:ln w="28575" cap="rnd">
            <a:solidFill>
              <a:schemeClr val="accent4"/>
            </a:solidFill>
            <a:round/>
          </a:ln>
          <a:effectLst/>
        </c:spPr>
        <c:marker>
          <c:symbol val="triangle"/>
          <c:size val="12"/>
          <c:spPr>
            <a:solidFill>
              <a:schemeClr val="accent5"/>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Lbl>
          <c:idx val="0"/>
          <c:spPr>
            <a:noFill/>
            <a:ln>
              <a:solidFill>
                <a:schemeClr val="accent2"/>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t"/>
          <c:showLegendKey val="0"/>
          <c:showVal val="1"/>
          <c:showCatName val="0"/>
          <c:showSerName val="0"/>
          <c:showPercent val="0"/>
          <c:showBubbleSize val="0"/>
          <c:extLst>
            <c:ext xmlns:c15="http://schemas.microsoft.com/office/drawing/2012/chart" uri="{CE6537A1-D6FC-4f65-9D91-7224C49458BB}"/>
          </c:extLst>
        </c:dLbl>
      </c:pivotFmt>
      <c:pivotFmt>
        <c:idx val="24"/>
        <c:dLbl>
          <c:idx val="0"/>
          <c:layout>
            <c:manualLayout>
              <c:x val="-7.9611111111111105E-2"/>
              <c:y val="0.10651611256926209"/>
            </c:manualLayout>
          </c:layout>
          <c:spPr>
            <a:noFill/>
            <a:ln>
              <a:solidFill>
                <a:schemeClr val="accent2"/>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5"/>
        <c:dLbl>
          <c:idx val="0"/>
          <c:layout>
            <c:manualLayout>
              <c:x val="-3.8347472731888488E-2"/>
              <c:y val="-0.15028373250260485"/>
            </c:manualLayout>
          </c:layout>
          <c:spPr>
            <a:noFill/>
            <a:ln>
              <a:solidFill>
                <a:schemeClr val="accent2"/>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dLbl>
          <c:idx val="0"/>
          <c:layout>
            <c:manualLayout>
              <c:x val="-6.5952524789632788E-2"/>
              <c:y val="9.0448202024008689E-2"/>
            </c:manualLayout>
          </c:layout>
          <c:spPr>
            <a:noFill/>
            <a:ln>
              <a:solidFill>
                <a:schemeClr val="accent2"/>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7"/>
        <c:dLbl>
          <c:idx val="0"/>
          <c:layout>
            <c:manualLayout>
              <c:x val="-5.0365239039080557E-2"/>
              <c:y val="-0.19003304219555828"/>
            </c:manualLayout>
          </c:layout>
          <c:spPr>
            <a:noFill/>
            <a:ln>
              <a:solidFill>
                <a:schemeClr val="accent2"/>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8"/>
        <c:dLbl>
          <c:idx val="0"/>
          <c:layout>
            <c:manualLayout>
              <c:x val="-7.9611111111111105E-2"/>
              <c:y val="0.10651611256926209"/>
            </c:manualLayout>
          </c:layout>
          <c:spPr>
            <a:noFill/>
            <a:ln>
              <a:solidFill>
                <a:schemeClr val="accent2"/>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29"/>
        <c:dLbl>
          <c:idx val="0"/>
          <c:layout>
            <c:manualLayout>
              <c:x val="-4.8350327572281158E-2"/>
              <c:y val="0.1233978549053471"/>
            </c:manualLayout>
          </c:layout>
          <c:spPr>
            <a:noFill/>
            <a:ln>
              <a:solidFill>
                <a:schemeClr val="accent2"/>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5.4611111111111214E-2"/>
              <c:y val="8.7997594050743658E-2"/>
            </c:manualLayout>
          </c:layout>
          <c:spPr>
            <a:noFill/>
            <a:ln>
              <a:solidFill>
                <a:schemeClr val="accent2"/>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1"/>
        <c:ser>
          <c:idx val="0"/>
          <c:order val="0"/>
          <c:tx>
            <c:strRef>
              <c:f>'Pivot Table'!$I$3</c:f>
              <c:strCache>
                <c:ptCount val="1"/>
                <c:pt idx="0">
                  <c:v>Total</c:v>
                </c:pt>
              </c:strCache>
            </c:strRef>
          </c:tx>
          <c:spPr>
            <a:ln w="28575" cap="rnd">
              <a:solidFill>
                <a:schemeClr val="accent4"/>
              </a:solidFill>
              <a:round/>
            </a:ln>
            <a:effectLst/>
          </c:spPr>
          <c:marker>
            <c:symbol val="triangle"/>
            <c:size val="12"/>
            <c:spPr>
              <a:solidFill>
                <a:schemeClr val="accent5"/>
              </a:solidFill>
              <a:ln w="9525">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dPt>
            <c:idx val="0"/>
            <c:bubble3D val="0"/>
            <c:extLst>
              <c:ext xmlns:c16="http://schemas.microsoft.com/office/drawing/2014/chart" uri="{C3380CC4-5D6E-409C-BE32-E72D297353CC}">
                <c16:uniqueId val="{00000000-66B4-4087-BA5F-AC0602AF74AF}"/>
              </c:ext>
            </c:extLst>
          </c:dPt>
          <c:dPt>
            <c:idx val="1"/>
            <c:bubble3D val="0"/>
            <c:extLst>
              <c:ext xmlns:c16="http://schemas.microsoft.com/office/drawing/2014/chart" uri="{C3380CC4-5D6E-409C-BE32-E72D297353CC}">
                <c16:uniqueId val="{00000001-66B4-4087-BA5F-AC0602AF74AF}"/>
              </c:ext>
            </c:extLst>
          </c:dPt>
          <c:dPt>
            <c:idx val="2"/>
            <c:bubble3D val="0"/>
            <c:extLst>
              <c:ext xmlns:c16="http://schemas.microsoft.com/office/drawing/2014/chart" uri="{C3380CC4-5D6E-409C-BE32-E72D297353CC}">
                <c16:uniqueId val="{00000002-66B4-4087-BA5F-AC0602AF74AF}"/>
              </c:ext>
            </c:extLst>
          </c:dPt>
          <c:dPt>
            <c:idx val="3"/>
            <c:bubble3D val="0"/>
            <c:spPr>
              <a:ln w="28575" cap="rnd">
                <a:solidFill>
                  <a:schemeClr val="accent1"/>
                </a:solidFill>
                <a:round/>
              </a:ln>
              <a:effectLst/>
            </c:spPr>
            <c:extLst>
              <c:ext xmlns:c16="http://schemas.microsoft.com/office/drawing/2014/chart" uri="{C3380CC4-5D6E-409C-BE32-E72D297353CC}">
                <c16:uniqueId val="{00000004-66B4-4087-BA5F-AC0602AF74AF}"/>
              </c:ext>
            </c:extLst>
          </c:dPt>
          <c:dPt>
            <c:idx val="4"/>
            <c:bubble3D val="0"/>
            <c:extLst>
              <c:ext xmlns:c16="http://schemas.microsoft.com/office/drawing/2014/chart" uri="{C3380CC4-5D6E-409C-BE32-E72D297353CC}">
                <c16:uniqueId val="{00000005-66B4-4087-BA5F-AC0602AF74AF}"/>
              </c:ext>
            </c:extLst>
          </c:dPt>
          <c:dPt>
            <c:idx val="5"/>
            <c:bubble3D val="0"/>
            <c:extLst>
              <c:ext xmlns:c16="http://schemas.microsoft.com/office/drawing/2014/chart" uri="{C3380CC4-5D6E-409C-BE32-E72D297353CC}">
                <c16:uniqueId val="{00000006-66B4-4087-BA5F-AC0602AF74AF}"/>
              </c:ext>
            </c:extLst>
          </c:dPt>
          <c:dPt>
            <c:idx val="6"/>
            <c:bubble3D val="0"/>
            <c:extLst>
              <c:ext xmlns:c16="http://schemas.microsoft.com/office/drawing/2014/chart" uri="{C3380CC4-5D6E-409C-BE32-E72D297353CC}">
                <c16:uniqueId val="{00000007-66B4-4087-BA5F-AC0602AF74AF}"/>
              </c:ext>
            </c:extLst>
          </c:dPt>
          <c:dPt>
            <c:idx val="7"/>
            <c:bubble3D val="0"/>
            <c:extLst>
              <c:ext xmlns:c16="http://schemas.microsoft.com/office/drawing/2014/chart" uri="{C3380CC4-5D6E-409C-BE32-E72D297353CC}">
                <c16:uniqueId val="{00000008-66B4-4087-BA5F-AC0602AF74AF}"/>
              </c:ext>
            </c:extLst>
          </c:dPt>
          <c:dPt>
            <c:idx val="8"/>
            <c:bubble3D val="0"/>
            <c:extLst>
              <c:ext xmlns:c16="http://schemas.microsoft.com/office/drawing/2014/chart" uri="{C3380CC4-5D6E-409C-BE32-E72D297353CC}">
                <c16:uniqueId val="{00000009-66B4-4087-BA5F-AC0602AF74AF}"/>
              </c:ext>
            </c:extLst>
          </c:dPt>
          <c:dPt>
            <c:idx val="9"/>
            <c:bubble3D val="0"/>
            <c:extLst>
              <c:ext xmlns:c16="http://schemas.microsoft.com/office/drawing/2014/chart" uri="{C3380CC4-5D6E-409C-BE32-E72D297353CC}">
                <c16:uniqueId val="{0000000A-66B4-4087-BA5F-AC0602AF74AF}"/>
              </c:ext>
            </c:extLst>
          </c:dPt>
          <c:dPt>
            <c:idx val="10"/>
            <c:bubble3D val="0"/>
            <c:extLst>
              <c:ext xmlns:c16="http://schemas.microsoft.com/office/drawing/2014/chart" uri="{C3380CC4-5D6E-409C-BE32-E72D297353CC}">
                <c16:uniqueId val="{0000000B-66B4-4087-BA5F-AC0602AF74AF}"/>
              </c:ext>
            </c:extLst>
          </c:dPt>
          <c:dPt>
            <c:idx val="11"/>
            <c:bubble3D val="0"/>
            <c:extLst>
              <c:ext xmlns:c16="http://schemas.microsoft.com/office/drawing/2014/chart" uri="{C3380CC4-5D6E-409C-BE32-E72D297353CC}">
                <c16:uniqueId val="{0000000C-66B4-4087-BA5F-AC0602AF74AF}"/>
              </c:ext>
            </c:extLst>
          </c:dPt>
          <c:dLbls>
            <c:dLbl>
              <c:idx val="0"/>
              <c:layout>
                <c:manualLayout>
                  <c:x val="-7.9611111111111105E-2"/>
                  <c:y val="0.106516112569262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66B4-4087-BA5F-AC0602AF74AF}"/>
                </c:ext>
              </c:extLst>
            </c:dLbl>
            <c:dLbl>
              <c:idx val="1"/>
              <c:layout>
                <c:manualLayout>
                  <c:x val="-3.8347472731888488E-2"/>
                  <c:y val="-0.15028373250260485"/>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6B4-4087-BA5F-AC0602AF74AF}"/>
                </c:ext>
              </c:extLst>
            </c:dLbl>
            <c:dLbl>
              <c:idx val="3"/>
              <c:layout>
                <c:manualLayout>
                  <c:x val="-6.5952524789632788E-2"/>
                  <c:y val="9.044820202400868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66B4-4087-BA5F-AC0602AF74AF}"/>
                </c:ext>
              </c:extLst>
            </c:dLbl>
            <c:dLbl>
              <c:idx val="4"/>
              <c:layout>
                <c:manualLayout>
                  <c:x val="-5.0365239039080557E-2"/>
                  <c:y val="-0.19003304219555828"/>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6B4-4087-BA5F-AC0602AF74AF}"/>
                </c:ext>
              </c:extLst>
            </c:dLbl>
            <c:dLbl>
              <c:idx val="7"/>
              <c:layout>
                <c:manualLayout>
                  <c:x val="-7.9611111111111105E-2"/>
                  <c:y val="0.10651611256926209"/>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66B4-4087-BA5F-AC0602AF74AF}"/>
                </c:ext>
              </c:extLst>
            </c:dLbl>
            <c:dLbl>
              <c:idx val="9"/>
              <c:layout>
                <c:manualLayout>
                  <c:x val="-4.8350327572281158E-2"/>
                  <c:y val="0.1233978549053471"/>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A-66B4-4087-BA5F-AC0602AF74AF}"/>
                </c:ext>
              </c:extLst>
            </c:dLbl>
            <c:dLbl>
              <c:idx val="10"/>
              <c:layout>
                <c:manualLayout>
                  <c:x val="-5.4611111111111214E-2"/>
                  <c:y val="8.7997594050743658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6B4-4087-BA5F-AC0602AF74AF}"/>
                </c:ext>
              </c:extLst>
            </c:dLbl>
            <c:spPr>
              <a:noFill/>
              <a:ln>
                <a:solidFill>
                  <a:schemeClr val="accent2"/>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Table'!$H$4:$H$16</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Table'!$I$4:$I$16</c:f>
              <c:numCache>
                <c:formatCode>#,##0</c:formatCode>
                <c:ptCount val="12"/>
                <c:pt idx="0">
                  <c:v>1616814.51</c:v>
                </c:pt>
                <c:pt idx="1">
                  <c:v>1974245.08</c:v>
                </c:pt>
                <c:pt idx="2">
                  <c:v>4798911.4400000004</c:v>
                </c:pt>
                <c:pt idx="3">
                  <c:v>2151585.85</c:v>
                </c:pt>
                <c:pt idx="4">
                  <c:v>2475457.27</c:v>
                </c:pt>
                <c:pt idx="5">
                  <c:v>4273250.7699999996</c:v>
                </c:pt>
                <c:pt idx="6">
                  <c:v>2921852.62</c:v>
                </c:pt>
                <c:pt idx="7">
                  <c:v>2651912.33</c:v>
                </c:pt>
                <c:pt idx="8">
                  <c:v>4666946.47</c:v>
                </c:pt>
                <c:pt idx="9">
                  <c:v>3568504.5</c:v>
                </c:pt>
                <c:pt idx="10">
                  <c:v>3673490.32</c:v>
                </c:pt>
                <c:pt idx="11">
                  <c:v>5142266.28</c:v>
                </c:pt>
              </c:numCache>
            </c:numRef>
          </c:val>
          <c:smooth val="1"/>
          <c:extLst>
            <c:ext xmlns:c16="http://schemas.microsoft.com/office/drawing/2014/chart" uri="{C3380CC4-5D6E-409C-BE32-E72D297353CC}">
              <c16:uniqueId val="{0000000D-66B4-4087-BA5F-AC0602AF74AF}"/>
            </c:ext>
          </c:extLst>
        </c:ser>
        <c:dLbls>
          <c:dLblPos val="t"/>
          <c:showLegendKey val="0"/>
          <c:showVal val="1"/>
          <c:showCatName val="0"/>
          <c:showSerName val="0"/>
          <c:showPercent val="0"/>
          <c:showBubbleSize val="0"/>
        </c:dLbls>
        <c:marker val="1"/>
        <c:smooth val="0"/>
        <c:axId val="1916853135"/>
        <c:axId val="1916873775"/>
      </c:lineChart>
      <c:catAx>
        <c:axId val="1916853135"/>
        <c:scaling>
          <c:orientation val="minMax"/>
        </c:scaling>
        <c:delete val="0"/>
        <c:axPos val="b"/>
        <c:numFmt formatCode="General" sourceLinked="1"/>
        <c:majorTickMark val="none"/>
        <c:minorTickMark val="none"/>
        <c:tickLblPos val="nextTo"/>
        <c:spPr>
          <a:solidFill>
            <a:schemeClr val="tx1"/>
          </a:solid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ar-EG"/>
          </a:p>
        </c:txPr>
        <c:crossAx val="1916873775"/>
        <c:crosses val="autoZero"/>
        <c:auto val="1"/>
        <c:lblAlgn val="l"/>
        <c:lblOffset val="100"/>
        <c:noMultiLvlLbl val="0"/>
      </c:catAx>
      <c:valAx>
        <c:axId val="1916873775"/>
        <c:scaling>
          <c:orientation val="minMax"/>
        </c:scaling>
        <c:delete val="1"/>
        <c:axPos val="l"/>
        <c:numFmt formatCode="#,##0" sourceLinked="1"/>
        <c:majorTickMark val="none"/>
        <c:minorTickMark val="none"/>
        <c:tickLblPos val="nextTo"/>
        <c:crossAx val="19168531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[Sales2025.xlsx]Pivot Table!PivotTable10</c:name>
    <c:fmtId val="2"/>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ar-EG" sz="1200" b="1">
                <a:solidFill>
                  <a:schemeClr val="bg1"/>
                </a:solidFill>
              </a:rPr>
              <a:t>الاصناف مسحوبات ونسبة</a:t>
            </a:r>
          </a:p>
        </c:rich>
      </c:tx>
      <c:layout>
        <c:manualLayout>
          <c:xMode val="edge"/>
          <c:yMode val="edge"/>
          <c:x val="0.2611385400096255"/>
          <c:y val="3.5469196492366441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2"/>
          </a:solidFill>
          <a:ln w="19050">
            <a:solidFill>
              <a:schemeClr val="lt1"/>
            </a:solid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9.5820958289998343E-2"/>
              <c:y val="-0.12414242046079245"/>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15:layout>
                <c:manualLayout>
                  <c:w val="0.28225046492040068"/>
                  <c:h val="0.29965559503300909"/>
                </c:manualLayout>
              </c15:layout>
            </c:ext>
          </c:extLst>
        </c:dLbl>
      </c:pivotFmt>
      <c:pivotFmt>
        <c:idx val="3"/>
        <c:spPr>
          <a:solidFill>
            <a:srgbClr val="00B0F0"/>
          </a:solidFill>
          <a:ln w="19050">
            <a:solidFill>
              <a:schemeClr val="lt1"/>
            </a:solidFill>
          </a:ln>
          <a:effectLst/>
        </c:spPr>
        <c:dLbl>
          <c:idx val="0"/>
          <c:layout>
            <c:manualLayout>
              <c:x val="-0.17661118749222238"/>
              <c:y val="0.53178822003748927"/>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15:layout>
                <c:manualLayout>
                  <c:w val="0.23029762053679395"/>
                  <c:h val="0.29965559503300909"/>
                </c:manualLayout>
              </c15:layout>
            </c:ext>
          </c:extLst>
        </c:dLbl>
      </c:pivotFmt>
      <c:pivotFmt>
        <c:idx val="4"/>
        <c:spPr>
          <a:solidFill>
            <a:srgbClr val="00B050"/>
          </a:solidFill>
          <a:ln w="19050">
            <a:solidFill>
              <a:schemeClr val="lt1"/>
            </a:solidFill>
          </a:ln>
          <a:effectLst/>
        </c:spPr>
        <c:dLbl>
          <c:idx val="0"/>
          <c:layout>
            <c:manualLayout>
              <c:x val="0.33950960827734689"/>
              <c:y val="0.1143462659361191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15:layout>
                <c:manualLayout>
                  <c:w val="0.25826938816356143"/>
                  <c:h val="0.32921325877664787"/>
                </c:manualLayout>
              </c15:layout>
            </c:ext>
          </c:extLst>
        </c:dLbl>
      </c:pivotFmt>
      <c:pivotFmt>
        <c:idx val="5"/>
        <c:spPr>
          <a:solidFill>
            <a:srgbClr val="0070C0"/>
          </a:solidFill>
          <a:ln w="19050">
            <a:solidFill>
              <a:schemeClr val="lt1"/>
            </a:solidFill>
          </a:ln>
          <a:effectLst/>
        </c:spPr>
        <c:dLbl>
          <c:idx val="0"/>
          <c:layout>
            <c:manualLayout>
              <c:x val="-5.7420870584742809E-2"/>
              <c:y val="0.1114533386893992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15:layout>
                <c:manualLayout>
                  <c:w val="0.23408012475711557"/>
                  <c:h val="0.34103632427410335"/>
                </c:manualLayout>
              </c15:layout>
            </c:ext>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2"/>
          </a:solidFill>
          <a:ln w="19050">
            <a:solidFill>
              <a:schemeClr val="lt1"/>
            </a:solid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solidFill>
          <a:ln w="19050">
            <a:solidFill>
              <a:schemeClr val="lt1"/>
            </a:solidFill>
          </a:ln>
          <a:effectLst/>
        </c:spPr>
        <c:dLbl>
          <c:idx val="0"/>
          <c:layout>
            <c:manualLayout>
              <c:x val="9.5820958289998343E-2"/>
              <c:y val="-0.12414242046079245"/>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15:layout>
                <c:manualLayout>
                  <c:w val="0.28225046492040068"/>
                  <c:h val="0.29965559503300909"/>
                </c:manualLayout>
              </c15:layout>
            </c:ext>
          </c:extLst>
        </c:dLbl>
      </c:pivotFmt>
      <c:pivotFmt>
        <c:idx val="12"/>
        <c:spPr>
          <a:solidFill>
            <a:srgbClr val="0070C0"/>
          </a:solidFill>
          <a:ln w="19050">
            <a:solidFill>
              <a:schemeClr val="lt1"/>
            </a:solidFill>
          </a:ln>
          <a:effectLst/>
        </c:spPr>
        <c:dLbl>
          <c:idx val="0"/>
          <c:layout>
            <c:manualLayout>
              <c:x val="-5.7420870584742809E-2"/>
              <c:y val="0.1114533386893992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15:layout>
                <c:manualLayout>
                  <c:w val="0.23408012475711557"/>
                  <c:h val="0.34103632427410335"/>
                </c:manualLayout>
              </c15:layout>
            </c:ext>
          </c:extLst>
        </c:dLbl>
      </c:pivotFmt>
      <c:pivotFmt>
        <c:idx val="13"/>
        <c:spPr>
          <a:solidFill>
            <a:srgbClr val="00B0F0"/>
          </a:solidFill>
          <a:ln w="19050">
            <a:solidFill>
              <a:schemeClr val="lt1"/>
            </a:solidFill>
          </a:ln>
          <a:effectLst/>
        </c:spPr>
        <c:dLbl>
          <c:idx val="0"/>
          <c:layout>
            <c:manualLayout>
              <c:x val="-0.17661118749222238"/>
              <c:y val="0.53178822003748927"/>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15:layout>
                <c:manualLayout>
                  <c:w val="0.23029762053679395"/>
                  <c:h val="0.29965559503300909"/>
                </c:manualLayout>
              </c15:layout>
            </c:ext>
          </c:extLst>
        </c:dLbl>
      </c:pivotFmt>
      <c:pivotFmt>
        <c:idx val="14"/>
        <c:spPr>
          <a:solidFill>
            <a:srgbClr val="00B050"/>
          </a:solidFill>
          <a:ln w="19050">
            <a:solidFill>
              <a:schemeClr val="lt1"/>
            </a:solidFill>
          </a:ln>
          <a:effectLst/>
        </c:spPr>
        <c:dLbl>
          <c:idx val="0"/>
          <c:layout>
            <c:manualLayout>
              <c:x val="0.33950960827734689"/>
              <c:y val="0.1143462659361191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15:layout>
                <c:manualLayout>
                  <c:w val="0.25826938816356143"/>
                  <c:h val="0.32921325877664787"/>
                </c:manualLayout>
              </c15:layout>
            </c:ext>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2"/>
          </a:solidFill>
          <a:ln w="19050">
            <a:solidFill>
              <a:schemeClr val="lt1"/>
            </a:solidFill>
          </a:ln>
          <a:effectLst/>
        </c:spPr>
        <c:marker>
          <c:symbol val="none"/>
        </c:marker>
        <c:dLbl>
          <c:idx val="0"/>
          <c:spPr>
            <a:solidFill>
              <a:schemeClr val="accent2"/>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21"/>
        <c:spPr>
          <a:solidFill>
            <a:schemeClr val="accent2"/>
          </a:solidFill>
          <a:ln w="19050">
            <a:solidFill>
              <a:schemeClr val="lt1"/>
            </a:solidFill>
          </a:ln>
          <a:effectLst/>
        </c:spPr>
        <c:dLbl>
          <c:idx val="0"/>
          <c:layout>
            <c:manualLayout>
              <c:x val="9.5820958289998343E-2"/>
              <c:y val="-0.12414242046079245"/>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15:layout>
                <c:manualLayout>
                  <c:w val="0.28225046492040068"/>
                  <c:h val="0.29965559503300909"/>
                </c:manualLayout>
              </c15:layout>
            </c:ext>
          </c:extLst>
        </c:dLbl>
      </c:pivotFmt>
      <c:pivotFmt>
        <c:idx val="22"/>
        <c:spPr>
          <a:solidFill>
            <a:srgbClr val="0070C0"/>
          </a:solidFill>
          <a:ln w="19050">
            <a:solidFill>
              <a:schemeClr val="lt1"/>
            </a:solidFill>
          </a:ln>
          <a:effectLst/>
        </c:spPr>
        <c:dLbl>
          <c:idx val="0"/>
          <c:layout>
            <c:manualLayout>
              <c:x val="-1.9827805828127751E-2"/>
              <c:y val="-2.4349178574900359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15:layout>
                <c:manualLayout>
                  <c:w val="0.23408012475711557"/>
                  <c:h val="0.34103632427410335"/>
                </c:manualLayout>
              </c15:layout>
            </c:ext>
          </c:extLst>
        </c:dLbl>
      </c:pivotFmt>
      <c:pivotFmt>
        <c:idx val="23"/>
        <c:spPr>
          <a:solidFill>
            <a:srgbClr val="00B0F0"/>
          </a:solidFill>
          <a:ln w="19050">
            <a:solidFill>
              <a:schemeClr val="lt1"/>
            </a:solidFill>
          </a:ln>
          <a:effectLst/>
        </c:spPr>
        <c:dLbl>
          <c:idx val="0"/>
          <c:layout>
            <c:manualLayout>
              <c:x val="-0.17661118749222238"/>
              <c:y val="0.53178822003748927"/>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15:layout>
                <c:manualLayout>
                  <c:w val="0.23029762053679395"/>
                  <c:h val="0.29965559503300909"/>
                </c:manualLayout>
              </c15:layout>
            </c:ext>
          </c:extLst>
        </c:dLbl>
      </c:pivotFmt>
      <c:pivotFmt>
        <c:idx val="24"/>
        <c:spPr>
          <a:solidFill>
            <a:srgbClr val="00B050"/>
          </a:solidFill>
          <a:ln w="19050">
            <a:solidFill>
              <a:schemeClr val="lt1"/>
            </a:solidFill>
          </a:ln>
          <a:effectLst/>
        </c:spPr>
        <c:dLbl>
          <c:idx val="0"/>
          <c:layout>
            <c:manualLayout>
              <c:x val="0.33950960827734689"/>
              <c:y val="0.1143462659361191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15:layout>
                <c:manualLayout>
                  <c:w val="0.25826938816356143"/>
                  <c:h val="0.32921325877664787"/>
                </c:manualLayout>
              </c15:layout>
            </c:ext>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s>
    <c:plotArea>
      <c:layout/>
      <c:pieChart>
        <c:varyColors val="1"/>
        <c:ser>
          <c:idx val="0"/>
          <c:order val="0"/>
          <c:tx>
            <c:strRef>
              <c:f>'Pivot Table'!$O$3</c:f>
              <c:strCache>
                <c:ptCount val="1"/>
                <c:pt idx="0">
                  <c:v>المبلغ</c:v>
                </c:pt>
              </c:strCache>
            </c:strRef>
          </c:tx>
          <c:spPr>
            <a:solidFill>
              <a:schemeClr val="accent2"/>
            </a:solidFill>
          </c:spPr>
          <c:dPt>
            <c:idx val="0"/>
            <c:bubble3D val="0"/>
            <c:explosion val="30"/>
            <c:spPr>
              <a:solidFill>
                <a:schemeClr val="accent2"/>
              </a:solidFill>
              <a:ln w="19050">
                <a:solidFill>
                  <a:schemeClr val="lt1"/>
                </a:solidFill>
              </a:ln>
              <a:effectLst/>
            </c:spPr>
            <c:extLst>
              <c:ext xmlns:c16="http://schemas.microsoft.com/office/drawing/2014/chart" uri="{C3380CC4-5D6E-409C-BE32-E72D297353CC}">
                <c16:uniqueId val="{00000001-AB56-4884-83FA-BAD3D16DB6E6}"/>
              </c:ext>
            </c:extLst>
          </c:dPt>
          <c:dPt>
            <c:idx val="1"/>
            <c:bubble3D val="0"/>
            <c:explosion val="20"/>
            <c:spPr>
              <a:solidFill>
                <a:srgbClr val="0070C0"/>
              </a:solidFill>
              <a:ln w="19050">
                <a:solidFill>
                  <a:schemeClr val="lt1"/>
                </a:solidFill>
              </a:ln>
              <a:effectLst/>
            </c:spPr>
            <c:extLst>
              <c:ext xmlns:c16="http://schemas.microsoft.com/office/drawing/2014/chart" uri="{C3380CC4-5D6E-409C-BE32-E72D297353CC}">
                <c16:uniqueId val="{00000003-AB56-4884-83FA-BAD3D16DB6E6}"/>
              </c:ext>
            </c:extLst>
          </c:dPt>
          <c:dPt>
            <c:idx val="2"/>
            <c:bubble3D val="0"/>
            <c:explosion val="10"/>
            <c:spPr>
              <a:solidFill>
                <a:srgbClr val="00B0F0"/>
              </a:solidFill>
              <a:ln w="19050">
                <a:solidFill>
                  <a:schemeClr val="lt1"/>
                </a:solidFill>
              </a:ln>
              <a:effectLst/>
            </c:spPr>
            <c:extLst>
              <c:ext xmlns:c16="http://schemas.microsoft.com/office/drawing/2014/chart" uri="{C3380CC4-5D6E-409C-BE32-E72D297353CC}">
                <c16:uniqueId val="{00000005-AB56-4884-83FA-BAD3D16DB6E6}"/>
              </c:ext>
            </c:extLst>
          </c:dPt>
          <c:dPt>
            <c:idx val="3"/>
            <c:bubble3D val="0"/>
            <c:explosion val="40"/>
            <c:spPr>
              <a:solidFill>
                <a:srgbClr val="00B050"/>
              </a:solidFill>
              <a:ln w="19050">
                <a:solidFill>
                  <a:schemeClr val="lt1"/>
                </a:solidFill>
              </a:ln>
              <a:effectLst/>
            </c:spPr>
            <c:extLst>
              <c:ext xmlns:c16="http://schemas.microsoft.com/office/drawing/2014/chart" uri="{C3380CC4-5D6E-409C-BE32-E72D297353CC}">
                <c16:uniqueId val="{00000007-AB56-4884-83FA-BAD3D16DB6E6}"/>
              </c:ext>
            </c:extLst>
          </c:dPt>
          <c:dLbls>
            <c:dLbl>
              <c:idx val="0"/>
              <c:layout>
                <c:manualLayout>
                  <c:x val="9.5820958289998343E-2"/>
                  <c:y val="-0.12414242046079245"/>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15:layout>
                    <c:manualLayout>
                      <c:w val="0.28225046492040068"/>
                      <c:h val="0.29965559503300909"/>
                    </c:manualLayout>
                  </c15:layout>
                </c:ext>
                <c:ext xmlns:c16="http://schemas.microsoft.com/office/drawing/2014/chart" uri="{C3380CC4-5D6E-409C-BE32-E72D297353CC}">
                  <c16:uniqueId val="{00000001-AB56-4884-83FA-BAD3D16DB6E6}"/>
                </c:ext>
              </c:extLst>
            </c:dLbl>
            <c:dLbl>
              <c:idx val="1"/>
              <c:layout>
                <c:manualLayout>
                  <c:x val="-1.9827805828127751E-2"/>
                  <c:y val="-2.4349178574900359E-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15:layout>
                    <c:manualLayout>
                      <c:w val="0.23408012475711557"/>
                      <c:h val="0.34103632427410335"/>
                    </c:manualLayout>
                  </c15:layout>
                </c:ext>
                <c:ext xmlns:c16="http://schemas.microsoft.com/office/drawing/2014/chart" uri="{C3380CC4-5D6E-409C-BE32-E72D297353CC}">
                  <c16:uniqueId val="{00000003-AB56-4884-83FA-BAD3D16DB6E6}"/>
                </c:ext>
              </c:extLst>
            </c:dLbl>
            <c:dLbl>
              <c:idx val="2"/>
              <c:layout>
                <c:manualLayout>
                  <c:x val="-0.17661118749222238"/>
                  <c:y val="0.53178822003748927"/>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15:layout>
                    <c:manualLayout>
                      <c:w val="0.23029762053679395"/>
                      <c:h val="0.29965559503300909"/>
                    </c:manualLayout>
                  </c15:layout>
                </c:ext>
                <c:ext xmlns:c16="http://schemas.microsoft.com/office/drawing/2014/chart" uri="{C3380CC4-5D6E-409C-BE32-E72D297353CC}">
                  <c16:uniqueId val="{00000005-AB56-4884-83FA-BAD3D16DB6E6}"/>
                </c:ext>
              </c:extLst>
            </c:dLbl>
            <c:dLbl>
              <c:idx val="3"/>
              <c:layout>
                <c:manualLayout>
                  <c:x val="0.33950960827734689"/>
                  <c:y val="0.11434626593611912"/>
                </c:manualLayout>
              </c:layout>
              <c:spPr>
                <a:solidFill>
                  <a:schemeClr val="accent2"/>
                </a:solidFill>
                <a:ln>
                  <a:noFill/>
                </a:ln>
                <a:effectLst/>
              </c:spPr>
              <c:txPr>
                <a:bodyPr rot="0" spcFirstLastPara="1" vertOverflow="ellipsis" vert="horz" wrap="square" lIns="38100" tIns="19050" rIns="38100" bIns="19050" anchor="ctr" anchorCtr="1">
                  <a:no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extLst>
                <c:ext xmlns:c15="http://schemas.microsoft.com/office/drawing/2012/chart" uri="{CE6537A1-D6FC-4f65-9D91-7224C49458BB}">
                  <c15:layout>
                    <c:manualLayout>
                      <c:w val="0.25826938816356143"/>
                      <c:h val="0.32921325877664787"/>
                    </c:manualLayout>
                  </c15:layout>
                </c:ext>
                <c:ext xmlns:c16="http://schemas.microsoft.com/office/drawing/2014/chart" uri="{C3380CC4-5D6E-409C-BE32-E72D297353CC}">
                  <c16:uniqueId val="{00000007-AB56-4884-83FA-BAD3D16DB6E6}"/>
                </c:ext>
              </c:extLst>
            </c:dLbl>
            <c:spPr>
              <a:solidFill>
                <a:schemeClr val="accent2"/>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ar-EG"/>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Table'!$N$4:$N$8</c:f>
              <c:strCache>
                <c:ptCount val="4"/>
                <c:pt idx="0">
                  <c:v>زبادى</c:v>
                </c:pt>
                <c:pt idx="1">
                  <c:v>عصير</c:v>
                </c:pt>
                <c:pt idx="2">
                  <c:v>جبنة</c:v>
                </c:pt>
                <c:pt idx="3">
                  <c:v>البان</c:v>
                </c:pt>
              </c:strCache>
            </c:strRef>
          </c:cat>
          <c:val>
            <c:numRef>
              <c:f>'Pivot Table'!$O$4:$O$8</c:f>
              <c:numCache>
                <c:formatCode>#,##0</c:formatCode>
                <c:ptCount val="4"/>
                <c:pt idx="0">
                  <c:v>33616539.640000001</c:v>
                </c:pt>
                <c:pt idx="1">
                  <c:v>3748445.26</c:v>
                </c:pt>
                <c:pt idx="2">
                  <c:v>2186763.3199999998</c:v>
                </c:pt>
                <c:pt idx="3">
                  <c:v>363489.22</c:v>
                </c:pt>
              </c:numCache>
            </c:numRef>
          </c:val>
          <c:extLst>
            <c:ext xmlns:c16="http://schemas.microsoft.com/office/drawing/2014/chart" uri="{C3380CC4-5D6E-409C-BE32-E72D297353CC}">
              <c16:uniqueId val="{00000008-AB56-4884-83FA-BAD3D16DB6E6}"/>
            </c:ext>
          </c:extLst>
        </c:ser>
        <c:ser>
          <c:idx val="1"/>
          <c:order val="1"/>
          <c:tx>
            <c:strRef>
              <c:f>'Pivot Table'!$P$3</c:f>
              <c:strCache>
                <c:ptCount val="1"/>
                <c:pt idx="0">
                  <c:v>النسبة</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A-AB56-4884-83FA-BAD3D16DB6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C-AB56-4884-83FA-BAD3D16DB6E6}"/>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E-AB56-4884-83FA-BAD3D16DB6E6}"/>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10-AB56-4884-83FA-BAD3D16DB6E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ar-EG"/>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Table'!$N$4:$N$8</c:f>
              <c:strCache>
                <c:ptCount val="4"/>
                <c:pt idx="0">
                  <c:v>زبادى</c:v>
                </c:pt>
                <c:pt idx="1">
                  <c:v>عصير</c:v>
                </c:pt>
                <c:pt idx="2">
                  <c:v>جبنة</c:v>
                </c:pt>
                <c:pt idx="3">
                  <c:v>البان</c:v>
                </c:pt>
              </c:strCache>
            </c:strRef>
          </c:cat>
          <c:val>
            <c:numRef>
              <c:f>'Pivot Table'!$P$4:$P$8</c:f>
              <c:numCache>
                <c:formatCode>0.00%</c:formatCode>
                <c:ptCount val="4"/>
                <c:pt idx="0">
                  <c:v>0.8421981628076719</c:v>
                </c:pt>
                <c:pt idx="1">
                  <c:v>9.3910133082249811E-2</c:v>
                </c:pt>
                <c:pt idx="2">
                  <c:v>5.4785176294820007E-2</c:v>
                </c:pt>
                <c:pt idx="3">
                  <c:v>9.1065278152583119E-3</c:v>
                </c:pt>
              </c:numCache>
            </c:numRef>
          </c:val>
          <c:extLst>
            <c:ext xmlns:c16="http://schemas.microsoft.com/office/drawing/2014/chart" uri="{C3380CC4-5D6E-409C-BE32-E72D297353CC}">
              <c16:uniqueId val="{00000011-AB56-4884-83FA-BAD3D16DB6E6}"/>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[Sales2025.xlsx]Pivot Table!PivotTable15</c:name>
    <c:fmtId val="2"/>
  </c:pivotSource>
  <c:chart>
    <c:title>
      <c:tx>
        <c:rich>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r>
              <a:rPr lang="ar-EG" sz="1600" b="1">
                <a:solidFill>
                  <a:schemeClr val="bg1"/>
                </a:solidFill>
              </a:rPr>
              <a:t>مقارنة شهر بالتالى</a:t>
            </a:r>
            <a:endParaRPr lang="en-US" sz="1600" b="1">
              <a:solidFill>
                <a:schemeClr val="bg1"/>
              </a:solidFill>
            </a:endParaRPr>
          </a:p>
        </c:rich>
      </c:tx>
      <c:overlay val="0"/>
      <c:spPr>
        <a:solidFill>
          <a:schemeClr val="tx1"/>
        </a:solidFill>
        <a:ln>
          <a:noFill/>
        </a:ln>
        <a:effectLst/>
      </c:spPr>
      <c:txPr>
        <a:bodyPr rot="0" spcFirstLastPara="1" vertOverflow="ellipsis" vert="horz" wrap="square" anchor="ctr" anchorCtr="1"/>
        <a:lstStyle/>
        <a:p>
          <a:pPr>
            <a:defRPr sz="16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pivotFmt>
      <c:pivotFmt>
        <c:idx val="2"/>
        <c:spPr>
          <a:solidFill>
            <a:schemeClr val="accent2"/>
          </a:solidFill>
          <a:ln>
            <a:noFill/>
          </a:ln>
          <a:effectLst/>
        </c:spPr>
      </c:pivotFmt>
      <c:pivotFmt>
        <c:idx val="3"/>
        <c:spPr>
          <a:solidFill>
            <a:schemeClr val="accent2"/>
          </a:solidFill>
          <a:ln>
            <a:noFill/>
          </a:ln>
          <a:effectLst/>
        </c:spPr>
      </c:pivotFmt>
      <c:pivotFmt>
        <c:idx val="4"/>
        <c:spPr>
          <a:solidFill>
            <a:schemeClr val="accent2"/>
          </a:solidFill>
          <a:ln>
            <a:noFill/>
          </a:ln>
          <a:effectLst/>
        </c:spPr>
      </c:pivotFmt>
      <c:pivotFmt>
        <c:idx val="5"/>
        <c:spPr>
          <a:solidFill>
            <a:schemeClr val="accent2"/>
          </a:solidFill>
          <a:ln>
            <a:noFill/>
          </a:ln>
          <a:effectLst/>
        </c:spPr>
      </c:pivotFmt>
      <c:pivotFmt>
        <c:idx val="6"/>
        <c:spPr>
          <a:solidFill>
            <a:schemeClr val="accent2"/>
          </a:solidFill>
          <a:ln>
            <a:noFill/>
          </a:ln>
          <a:effectLst/>
        </c:spPr>
      </c:pivotFmt>
      <c:pivotFmt>
        <c:idx val="7"/>
        <c:spPr>
          <a:solidFill>
            <a:schemeClr val="accent1"/>
          </a:solidFill>
          <a:ln>
            <a:noFill/>
          </a:ln>
          <a:effectLst/>
        </c:spPr>
        <c:dLbl>
          <c:idx val="0"/>
          <c:layout>
            <c:manualLayout>
              <c:x val="3.0099430030556738E-2"/>
              <c:y val="-0.12689611729568276"/>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dLbl>
          <c:idx val="0"/>
          <c:layout>
            <c:manualLayout>
              <c:x val="1.8059658018333997E-2"/>
              <c:y val="-0.2151719793646483"/>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3.3109373033612589E-2"/>
              <c:y val="-9.3793103448275864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solidFill>
          <a:ln>
            <a:noFill/>
          </a:ln>
          <a:effectLst/>
        </c:spPr>
      </c:pivotFmt>
      <c:pivotFmt>
        <c:idx val="12"/>
        <c:spPr>
          <a:solidFill>
            <a:schemeClr val="accent2"/>
          </a:solidFill>
          <a:ln>
            <a:noFill/>
          </a:ln>
          <a:effectLst/>
        </c:spPr>
      </c:pivotFmt>
      <c:pivotFmt>
        <c:idx val="13"/>
        <c:spPr>
          <a:solidFill>
            <a:schemeClr val="accent2"/>
          </a:solidFill>
          <a:ln>
            <a:noFill/>
          </a:ln>
          <a:effectLst/>
        </c:spPr>
      </c:pivotFmt>
      <c:pivotFmt>
        <c:idx val="14"/>
        <c:spPr>
          <a:solidFill>
            <a:schemeClr val="accent2"/>
          </a:solidFill>
          <a:ln>
            <a:noFill/>
          </a:ln>
          <a:effectLst/>
        </c:spPr>
      </c:pivotFmt>
      <c:pivotFmt>
        <c:idx val="15"/>
        <c:spPr>
          <a:solidFill>
            <a:schemeClr val="accent1"/>
          </a:solidFill>
          <a:ln>
            <a:noFill/>
          </a:ln>
          <a:effectLst/>
        </c:spPr>
        <c:dLbl>
          <c:idx val="0"/>
          <c:layout>
            <c:manualLayout>
              <c:x val="-3.3109373033612589E-2"/>
              <c:y val="-9.3793103448275864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dLbl>
          <c:idx val="0"/>
          <c:layout>
            <c:manualLayout>
              <c:x val="1.8059658018333997E-2"/>
              <c:y val="-0.2151719793646483"/>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2"/>
          </a:solidFill>
          <a:ln>
            <a:noFill/>
          </a:ln>
          <a:effectLst/>
        </c:spPr>
      </c:pivotFmt>
      <c:pivotFmt>
        <c:idx val="18"/>
        <c:spPr>
          <a:solidFill>
            <a:schemeClr val="accent1"/>
          </a:solidFill>
          <a:ln>
            <a:noFill/>
          </a:ln>
          <a:effectLst/>
        </c:spPr>
        <c:dLbl>
          <c:idx val="0"/>
          <c:layout>
            <c:manualLayout>
              <c:x val="3.0099430030556738E-2"/>
              <c:y val="-0.12689611729568276"/>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2"/>
          </a:solidFill>
          <a:ln>
            <a:noFill/>
          </a:ln>
          <a:effectLst/>
        </c:spPr>
      </c:pivotFmt>
      <c:pivotFmt>
        <c:idx val="20"/>
        <c:spPr>
          <a:solidFill>
            <a:schemeClr val="accent1"/>
          </a:solidFill>
          <a:ln>
            <a:noFill/>
          </a:ln>
          <a:effectLst/>
        </c:spPr>
        <c:marker>
          <c:symbol val="none"/>
        </c:marker>
        <c:dLbl>
          <c:idx val="0"/>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2"/>
          </a:solidFill>
          <a:ln>
            <a:noFill/>
          </a:ln>
          <a:effectLst/>
        </c:spPr>
      </c:pivotFmt>
      <c:pivotFmt>
        <c:idx val="22"/>
        <c:spPr>
          <a:solidFill>
            <a:schemeClr val="accent2"/>
          </a:solidFill>
          <a:ln>
            <a:noFill/>
          </a:ln>
          <a:effectLst/>
        </c:spPr>
      </c:pivotFmt>
      <c:pivotFmt>
        <c:idx val="23"/>
        <c:spPr>
          <a:solidFill>
            <a:schemeClr val="accent2"/>
          </a:solidFill>
          <a:ln>
            <a:noFill/>
          </a:ln>
          <a:effectLst/>
        </c:spPr>
      </c:pivotFmt>
      <c:pivotFmt>
        <c:idx val="24"/>
        <c:spPr>
          <a:solidFill>
            <a:schemeClr val="accent2"/>
          </a:solidFill>
          <a:ln>
            <a:noFill/>
          </a:ln>
          <a:effectLst/>
        </c:spPr>
      </c:pivotFmt>
      <c:pivotFmt>
        <c:idx val="25"/>
        <c:spPr>
          <a:solidFill>
            <a:schemeClr val="accent1"/>
          </a:solidFill>
          <a:ln>
            <a:noFill/>
          </a:ln>
          <a:effectLst/>
        </c:spPr>
        <c:dLbl>
          <c:idx val="0"/>
          <c:layout>
            <c:manualLayout>
              <c:x val="-3.3109373033612589E-2"/>
              <c:y val="-9.3793103448275864E-2"/>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2"/>
          </a:solidFill>
          <a:ln>
            <a:noFill/>
          </a:ln>
          <a:effectLst/>
        </c:spPr>
      </c:pivotFmt>
      <c:pivotFmt>
        <c:idx val="28"/>
        <c:spPr>
          <a:solidFill>
            <a:schemeClr val="accent1"/>
          </a:solidFill>
          <a:ln>
            <a:noFill/>
          </a:ln>
          <a:effectLst/>
        </c:spPr>
        <c:dLbl>
          <c:idx val="0"/>
          <c:layout>
            <c:manualLayout>
              <c:x val="3.0099430030556738E-2"/>
              <c:y val="-0.12689611729568276"/>
            </c:manualLayout>
          </c:layout>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2"/>
          </a:solidFill>
          <a:ln>
            <a:noFill/>
          </a:ln>
          <a:effectLst/>
        </c:spPr>
      </c:pivotFmt>
    </c:pivotFmts>
    <c:plotArea>
      <c:layout/>
      <c:barChart>
        <c:barDir val="col"/>
        <c:grouping val="clustered"/>
        <c:varyColors val="0"/>
        <c:ser>
          <c:idx val="0"/>
          <c:order val="0"/>
          <c:tx>
            <c:strRef>
              <c:f>'Pivot Table'!$BD$3</c:f>
              <c:strCache>
                <c:ptCount val="1"/>
                <c:pt idx="0">
                  <c:v>Total</c:v>
                </c:pt>
              </c:strCache>
            </c:strRef>
          </c:tx>
          <c:spPr>
            <a:solidFill>
              <a:schemeClr val="accent1"/>
            </a:solidFill>
            <a:ln>
              <a:noFill/>
            </a:ln>
            <a:effectLst/>
          </c:spPr>
          <c:invertIfNegative val="0"/>
          <c:dPt>
            <c:idx val="1"/>
            <c:invertIfNegative val="0"/>
            <c:bubble3D val="0"/>
            <c:spPr>
              <a:solidFill>
                <a:schemeClr val="accent2"/>
              </a:solidFill>
              <a:ln>
                <a:noFill/>
              </a:ln>
              <a:effectLst/>
            </c:spPr>
            <c:extLst>
              <c:ext xmlns:c16="http://schemas.microsoft.com/office/drawing/2014/chart" uri="{C3380CC4-5D6E-409C-BE32-E72D297353CC}">
                <c16:uniqueId val="{00000001-C3EE-4FF8-AECE-E3654EC1D363}"/>
              </c:ext>
            </c:extLst>
          </c:dPt>
          <c:dPt>
            <c:idx val="2"/>
            <c:invertIfNegative val="0"/>
            <c:bubble3D val="0"/>
            <c:spPr>
              <a:solidFill>
                <a:schemeClr val="accent2"/>
              </a:solidFill>
              <a:ln>
                <a:noFill/>
              </a:ln>
              <a:effectLst/>
            </c:spPr>
            <c:extLst>
              <c:ext xmlns:c16="http://schemas.microsoft.com/office/drawing/2014/chart" uri="{C3380CC4-5D6E-409C-BE32-E72D297353CC}">
                <c16:uniqueId val="{00000003-C3EE-4FF8-AECE-E3654EC1D363}"/>
              </c:ext>
            </c:extLst>
          </c:dPt>
          <c:dPt>
            <c:idx val="4"/>
            <c:invertIfNegative val="0"/>
            <c:bubble3D val="0"/>
            <c:spPr>
              <a:solidFill>
                <a:schemeClr val="accent2"/>
              </a:solidFill>
              <a:ln>
                <a:noFill/>
              </a:ln>
              <a:effectLst/>
            </c:spPr>
            <c:extLst>
              <c:ext xmlns:c16="http://schemas.microsoft.com/office/drawing/2014/chart" uri="{C3380CC4-5D6E-409C-BE32-E72D297353CC}">
                <c16:uniqueId val="{00000005-C3EE-4FF8-AECE-E3654EC1D363}"/>
              </c:ext>
            </c:extLst>
          </c:dPt>
          <c:dPt>
            <c:idx val="5"/>
            <c:invertIfNegative val="0"/>
            <c:bubble3D val="0"/>
            <c:spPr>
              <a:solidFill>
                <a:schemeClr val="accent2"/>
              </a:solidFill>
              <a:ln>
                <a:noFill/>
              </a:ln>
              <a:effectLst/>
            </c:spPr>
            <c:extLst>
              <c:ext xmlns:c16="http://schemas.microsoft.com/office/drawing/2014/chart" uri="{C3380CC4-5D6E-409C-BE32-E72D297353CC}">
                <c16:uniqueId val="{00000007-C3EE-4FF8-AECE-E3654EC1D363}"/>
              </c:ext>
            </c:extLst>
          </c:dPt>
          <c:dPt>
            <c:idx val="6"/>
            <c:invertIfNegative val="0"/>
            <c:bubble3D val="0"/>
            <c:extLst>
              <c:ext xmlns:c16="http://schemas.microsoft.com/office/drawing/2014/chart" uri="{C3380CC4-5D6E-409C-BE32-E72D297353CC}">
                <c16:uniqueId val="{0000000C-C3EE-4FF8-AECE-E3654EC1D363}"/>
              </c:ext>
            </c:extLst>
          </c:dPt>
          <c:dPt>
            <c:idx val="7"/>
            <c:invertIfNegative val="0"/>
            <c:bubble3D val="0"/>
            <c:extLst>
              <c:ext xmlns:c16="http://schemas.microsoft.com/office/drawing/2014/chart" uri="{C3380CC4-5D6E-409C-BE32-E72D297353CC}">
                <c16:uniqueId val="{0000000D-C3EE-4FF8-AECE-E3654EC1D363}"/>
              </c:ext>
            </c:extLst>
          </c:dPt>
          <c:dPt>
            <c:idx val="8"/>
            <c:invertIfNegative val="0"/>
            <c:bubble3D val="0"/>
            <c:spPr>
              <a:solidFill>
                <a:schemeClr val="accent2"/>
              </a:solidFill>
              <a:ln>
                <a:noFill/>
              </a:ln>
              <a:effectLst/>
            </c:spPr>
            <c:extLst>
              <c:ext xmlns:c16="http://schemas.microsoft.com/office/drawing/2014/chart" uri="{C3380CC4-5D6E-409C-BE32-E72D297353CC}">
                <c16:uniqueId val="{00000009-C3EE-4FF8-AECE-E3654EC1D363}"/>
              </c:ext>
            </c:extLst>
          </c:dPt>
          <c:dPt>
            <c:idx val="9"/>
            <c:invertIfNegative val="0"/>
            <c:bubble3D val="0"/>
            <c:extLst>
              <c:ext xmlns:c16="http://schemas.microsoft.com/office/drawing/2014/chart" uri="{C3380CC4-5D6E-409C-BE32-E72D297353CC}">
                <c16:uniqueId val="{0000000E-C3EE-4FF8-AECE-E3654EC1D363}"/>
              </c:ext>
            </c:extLst>
          </c:dPt>
          <c:dPt>
            <c:idx val="11"/>
            <c:invertIfNegative val="0"/>
            <c:bubble3D val="0"/>
            <c:spPr>
              <a:solidFill>
                <a:schemeClr val="accent2"/>
              </a:solidFill>
              <a:ln>
                <a:noFill/>
              </a:ln>
              <a:effectLst/>
            </c:spPr>
            <c:extLst>
              <c:ext xmlns:c16="http://schemas.microsoft.com/office/drawing/2014/chart" uri="{C3380CC4-5D6E-409C-BE32-E72D297353CC}">
                <c16:uniqueId val="{0000000B-C3EE-4FF8-AECE-E3654EC1D363}"/>
              </c:ext>
            </c:extLst>
          </c:dPt>
          <c:dLbls>
            <c:dLbl>
              <c:idx val="6"/>
              <c:layout>
                <c:manualLayout>
                  <c:x val="-3.3109373033612589E-2"/>
                  <c:y val="-9.379310344827586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C-C3EE-4FF8-AECE-E3654EC1D363}"/>
                </c:ext>
              </c:extLst>
            </c:dLbl>
            <c:dLbl>
              <c:idx val="9"/>
              <c:layout>
                <c:manualLayout>
                  <c:x val="3.0099430030556738E-2"/>
                  <c:y val="-0.1268961172956827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C3EE-4FF8-AECE-E3654EC1D363}"/>
                </c:ext>
              </c:extLst>
            </c:dLbl>
            <c:spPr>
              <a:solidFill>
                <a:schemeClr val="tx1"/>
              </a:solid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Table'!$BC$4:$BC$16</c:f>
              <c:strCache>
                <c:ptCount val="12"/>
                <c:pt idx="0">
                  <c:v>يناير</c:v>
                </c:pt>
                <c:pt idx="1">
                  <c:v>فبراير</c:v>
                </c:pt>
                <c:pt idx="2">
                  <c:v>مارس</c:v>
                </c:pt>
                <c:pt idx="3">
                  <c:v>أبريل</c:v>
                </c:pt>
                <c:pt idx="4">
                  <c:v>مايو</c:v>
                </c:pt>
                <c:pt idx="5">
                  <c:v>يونيو</c:v>
                </c:pt>
                <c:pt idx="6">
                  <c:v>يوليو</c:v>
                </c:pt>
                <c:pt idx="7">
                  <c:v>أغسطس</c:v>
                </c:pt>
                <c:pt idx="8">
                  <c:v>سبتمبر</c:v>
                </c:pt>
                <c:pt idx="9">
                  <c:v>أكتوبر</c:v>
                </c:pt>
                <c:pt idx="10">
                  <c:v>نوفمبر</c:v>
                </c:pt>
                <c:pt idx="11">
                  <c:v>ديسمبر</c:v>
                </c:pt>
              </c:strCache>
            </c:strRef>
          </c:cat>
          <c:val>
            <c:numRef>
              <c:f>'Pivot Table'!$BD$4:$BD$16</c:f>
              <c:numCache>
                <c:formatCode>#,##0</c:formatCode>
                <c:ptCount val="12"/>
                <c:pt idx="1">
                  <c:v>357430.57000000007</c:v>
                </c:pt>
                <c:pt idx="2">
                  <c:v>2824666.3600000003</c:v>
                </c:pt>
                <c:pt idx="3">
                  <c:v>-2647325.5900000003</c:v>
                </c:pt>
                <c:pt idx="4">
                  <c:v>323871.41999999993</c:v>
                </c:pt>
                <c:pt idx="5">
                  <c:v>1797793.4999999995</c:v>
                </c:pt>
                <c:pt idx="6">
                  <c:v>-1351398.1499999994</c:v>
                </c:pt>
                <c:pt idx="7">
                  <c:v>-269940.29000000004</c:v>
                </c:pt>
                <c:pt idx="8">
                  <c:v>2015034.1399999997</c:v>
                </c:pt>
                <c:pt idx="9">
                  <c:v>-1098441.9699999997</c:v>
                </c:pt>
                <c:pt idx="10">
                  <c:v>104985.81999999983</c:v>
                </c:pt>
                <c:pt idx="11">
                  <c:v>1468775.9600000004</c:v>
                </c:pt>
              </c:numCache>
            </c:numRef>
          </c:val>
          <c:extLst>
            <c:ext xmlns:c16="http://schemas.microsoft.com/office/drawing/2014/chart" uri="{C3380CC4-5D6E-409C-BE32-E72D297353CC}">
              <c16:uniqueId val="{0000000F-C3EE-4FF8-AECE-E3654EC1D363}"/>
            </c:ext>
          </c:extLst>
        </c:ser>
        <c:dLbls>
          <c:dLblPos val="outEnd"/>
          <c:showLegendKey val="0"/>
          <c:showVal val="1"/>
          <c:showCatName val="0"/>
          <c:showSerName val="0"/>
          <c:showPercent val="0"/>
          <c:showBubbleSize val="0"/>
        </c:dLbls>
        <c:gapWidth val="219"/>
        <c:overlap val="-27"/>
        <c:axId val="1083208159"/>
        <c:axId val="1083226399"/>
      </c:barChart>
      <c:catAx>
        <c:axId val="1083208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bg1"/>
                </a:solidFill>
                <a:latin typeface="+mn-lt"/>
                <a:ea typeface="+mn-ea"/>
                <a:cs typeface="+mn-cs"/>
              </a:defRPr>
            </a:pPr>
            <a:endParaRPr lang="ar-EG"/>
          </a:p>
        </c:txPr>
        <c:crossAx val="1083226399"/>
        <c:crosses val="autoZero"/>
        <c:auto val="1"/>
        <c:lblAlgn val="ctr"/>
        <c:lblOffset val="100"/>
        <c:noMultiLvlLbl val="0"/>
      </c:catAx>
      <c:valAx>
        <c:axId val="1083226399"/>
        <c:scaling>
          <c:orientation val="minMax"/>
        </c:scaling>
        <c:delete val="1"/>
        <c:axPos val="l"/>
        <c:numFmt formatCode="#,##0" sourceLinked="1"/>
        <c:majorTickMark val="none"/>
        <c:minorTickMark val="none"/>
        <c:tickLblPos val="nextTo"/>
        <c:crossAx val="1083208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[Sales2025.xlsx]Pivot Table!PivotTable14</c:name>
    <c:fmtId val="5"/>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ar-EG" b="1">
                <a:solidFill>
                  <a:schemeClr val="bg1"/>
                </a:solidFill>
              </a:rPr>
              <a:t>مسحوبات البان والكميات</a:t>
            </a:r>
            <a:endParaRPr lang="en-US" b="1">
              <a:solidFill>
                <a:schemeClr val="bg1"/>
              </a:solidFill>
            </a:endParaRPr>
          </a:p>
        </c:rich>
      </c:tx>
      <c:layout>
        <c:manualLayout>
          <c:xMode val="edge"/>
          <c:yMode val="edge"/>
          <c:x val="0.31446945337620574"/>
          <c:y val="6.2639821029082776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pivotFmt>
      <c:pivotFmt>
        <c:idx val="3"/>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 Table'!$AU$3</c:f>
              <c:strCache>
                <c:ptCount val="1"/>
                <c:pt idx="0">
                  <c:v>المبلغ</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Table'!$AT$4:$AT$9</c:f>
              <c:strCache>
                <c:ptCount val="5"/>
                <c:pt idx="0">
                  <c:v>حليب مراعى 1لتر(12 علبة ) كرتون</c:v>
                </c:pt>
                <c:pt idx="1">
                  <c:v>حليب مراعى 1لتر(12 علبة ) بلاستيك</c:v>
                </c:pt>
                <c:pt idx="2">
                  <c:v>حليب محلى 220 ملى سنجل</c:v>
                </c:pt>
                <c:pt idx="3">
                  <c:v>حليب محلى 200 (وفر 1 جنية)</c:v>
                </c:pt>
                <c:pt idx="4">
                  <c:v>حليب مراعى لتر ونصف بلاستيك</c:v>
                </c:pt>
              </c:strCache>
            </c:strRef>
          </c:cat>
          <c:val>
            <c:numRef>
              <c:f>'Pivot Table'!$AU$4:$AU$9</c:f>
              <c:numCache>
                <c:formatCode>#,##0</c:formatCode>
                <c:ptCount val="5"/>
                <c:pt idx="0">
                  <c:v>212838.12</c:v>
                </c:pt>
                <c:pt idx="1">
                  <c:v>88851.6</c:v>
                </c:pt>
                <c:pt idx="2">
                  <c:v>32035.5</c:v>
                </c:pt>
                <c:pt idx="3">
                  <c:v>25760</c:v>
                </c:pt>
                <c:pt idx="4">
                  <c:v>4004</c:v>
                </c:pt>
              </c:numCache>
            </c:numRef>
          </c:val>
          <c:extLst>
            <c:ext xmlns:c16="http://schemas.microsoft.com/office/drawing/2014/chart" uri="{C3380CC4-5D6E-409C-BE32-E72D297353CC}">
              <c16:uniqueId val="{00000000-3B1B-4125-9934-9249E6D2FE87}"/>
            </c:ext>
          </c:extLst>
        </c:ser>
        <c:ser>
          <c:idx val="1"/>
          <c:order val="1"/>
          <c:tx>
            <c:strRef>
              <c:f>'Pivot Table'!$AV$3</c:f>
              <c:strCache>
                <c:ptCount val="1"/>
                <c:pt idx="0">
                  <c:v> الكمية</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Table'!$AT$4:$AT$9</c:f>
              <c:strCache>
                <c:ptCount val="5"/>
                <c:pt idx="0">
                  <c:v>حليب مراعى 1لتر(12 علبة ) كرتون</c:v>
                </c:pt>
                <c:pt idx="1">
                  <c:v>حليب مراعى 1لتر(12 علبة ) بلاستيك</c:v>
                </c:pt>
                <c:pt idx="2">
                  <c:v>حليب محلى 220 ملى سنجل</c:v>
                </c:pt>
                <c:pt idx="3">
                  <c:v>حليب محلى 200 (وفر 1 جنية)</c:v>
                </c:pt>
                <c:pt idx="4">
                  <c:v>حليب مراعى لتر ونصف بلاستيك</c:v>
                </c:pt>
              </c:strCache>
            </c:strRef>
          </c:cat>
          <c:val>
            <c:numRef>
              <c:f>'Pivot Table'!$AV$4:$AV$9</c:f>
              <c:numCache>
                <c:formatCode>#,##0</c:formatCode>
                <c:ptCount val="5"/>
                <c:pt idx="0">
                  <c:v>363</c:v>
                </c:pt>
                <c:pt idx="1">
                  <c:v>150</c:v>
                </c:pt>
                <c:pt idx="2">
                  <c:v>105</c:v>
                </c:pt>
                <c:pt idx="3">
                  <c:v>92</c:v>
                </c:pt>
                <c:pt idx="4">
                  <c:v>7</c:v>
                </c:pt>
              </c:numCache>
            </c:numRef>
          </c:val>
          <c:extLst>
            <c:ext xmlns:c16="http://schemas.microsoft.com/office/drawing/2014/chart" uri="{C3380CC4-5D6E-409C-BE32-E72D297353CC}">
              <c16:uniqueId val="{00000001-3B1B-4125-9934-9249E6D2FE87}"/>
            </c:ext>
          </c:extLst>
        </c:ser>
        <c:dLbls>
          <c:showLegendKey val="0"/>
          <c:showVal val="0"/>
          <c:showCatName val="0"/>
          <c:showSerName val="0"/>
          <c:showPercent val="0"/>
          <c:showBubbleSize val="0"/>
        </c:dLbls>
        <c:gapWidth val="150"/>
        <c:shape val="box"/>
        <c:axId val="1916847375"/>
        <c:axId val="1916872335"/>
        <c:axId val="0"/>
      </c:bar3DChart>
      <c:catAx>
        <c:axId val="1916847375"/>
        <c:scaling>
          <c:orientation val="minMax"/>
        </c:scaling>
        <c:delete val="0"/>
        <c:axPos val="l"/>
        <c:numFmt formatCode="General" sourceLinked="1"/>
        <c:majorTickMark val="none"/>
        <c:minorTickMark val="none"/>
        <c:tickLblPos val="nextTo"/>
        <c:spPr>
          <a:solidFill>
            <a:schemeClr val="tx1"/>
          </a:solidFill>
          <a:ln>
            <a:solidFill>
              <a:schemeClr val="accent2"/>
            </a:solidFill>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ar-EG"/>
          </a:p>
        </c:txPr>
        <c:crossAx val="1916872335"/>
        <c:crosses val="autoZero"/>
        <c:auto val="1"/>
        <c:lblAlgn val="ctr"/>
        <c:lblOffset val="100"/>
        <c:noMultiLvlLbl val="0"/>
      </c:catAx>
      <c:valAx>
        <c:axId val="1916872335"/>
        <c:scaling>
          <c:orientation val="minMax"/>
        </c:scaling>
        <c:delete val="1"/>
        <c:axPos val="b"/>
        <c:numFmt formatCode="0%" sourceLinked="1"/>
        <c:majorTickMark val="none"/>
        <c:minorTickMark val="none"/>
        <c:tickLblPos val="nextTo"/>
        <c:crossAx val="1916847375"/>
        <c:crosses val="autoZero"/>
        <c:crossBetween val="between"/>
      </c:valAx>
      <c:spPr>
        <a:noFill/>
        <a:ln>
          <a:noFill/>
        </a:ln>
        <a:effectLst/>
      </c:spPr>
    </c:plotArea>
    <c:legend>
      <c:legendPos val="r"/>
      <c:layout>
        <c:manualLayout>
          <c:xMode val="edge"/>
          <c:yMode val="edge"/>
          <c:x val="4.8801181102362215E-2"/>
          <c:y val="4.7082604257801086E-2"/>
          <c:w val="0.21786548556430443"/>
          <c:h val="0.15625109361329836"/>
        </c:manualLayout>
      </c:layout>
      <c:overlay val="0"/>
      <c:spPr>
        <a:solidFill>
          <a:schemeClr val="tx1"/>
        </a:solidFill>
        <a:ln>
          <a:noFill/>
        </a:ln>
        <a:effectLst/>
      </c:spPr>
      <c:txPr>
        <a:bodyPr rot="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[Sales2025.xlsx]Pivot Table!PivotTable13</c:name>
    <c:fmtId val="4"/>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ar-EG" sz="1200" b="1">
                <a:solidFill>
                  <a:schemeClr val="bg1"/>
                </a:solidFill>
              </a:rPr>
              <a:t>مسحوبات</a:t>
            </a:r>
            <a:r>
              <a:rPr lang="ar-EG" sz="1200" b="1" baseline="0">
                <a:solidFill>
                  <a:schemeClr val="bg1"/>
                </a:solidFill>
              </a:rPr>
              <a:t> الجبنة والكميات</a:t>
            </a:r>
            <a:endParaRPr lang="en-US" sz="1200" b="1">
              <a:solidFill>
                <a:schemeClr val="bg1"/>
              </a:solidFill>
            </a:endParaRPr>
          </a:p>
        </c:rich>
      </c:tx>
      <c:layout>
        <c:manualLayout>
          <c:xMode val="edge"/>
          <c:yMode val="edge"/>
          <c:x val="0.34577405665026051"/>
          <c:y val="3.5087719298245612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524540682414699"/>
          <c:y val="0.17171296296296296"/>
          <c:w val="0.57954244903340124"/>
          <c:h val="0.72385061242344706"/>
        </c:manualLayout>
      </c:layout>
      <c:barChart>
        <c:barDir val="bar"/>
        <c:grouping val="percentStacked"/>
        <c:varyColors val="0"/>
        <c:ser>
          <c:idx val="0"/>
          <c:order val="0"/>
          <c:tx>
            <c:strRef>
              <c:f>'Pivot Table'!$AM$3</c:f>
              <c:strCache>
                <c:ptCount val="1"/>
                <c:pt idx="0">
                  <c:v>المبلغ</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Table'!$AL$4:$AL$10</c:f>
              <c:strCache>
                <c:ptCount val="6"/>
                <c:pt idx="0">
                  <c:v>جبنة المراعى 250جم</c:v>
                </c:pt>
                <c:pt idx="1">
                  <c:v>جبنة المراعى شيدر 250جم</c:v>
                </c:pt>
                <c:pt idx="2">
                  <c:v>جبنة المراعى 125جم</c:v>
                </c:pt>
                <c:pt idx="3">
                  <c:v>جبنة المراعى 500 جم رومى وشيدر</c:v>
                </c:pt>
                <c:pt idx="4">
                  <c:v>جبنة المراعى 500 جم</c:v>
                </c:pt>
                <c:pt idx="5">
                  <c:v>جبنة مثلثات 8 قطعة *24 علبة</c:v>
                </c:pt>
              </c:strCache>
            </c:strRef>
          </c:cat>
          <c:val>
            <c:numRef>
              <c:f>'Pivot Table'!$AM$4:$AM$10</c:f>
              <c:numCache>
                <c:formatCode>#,##0</c:formatCode>
                <c:ptCount val="6"/>
                <c:pt idx="0">
                  <c:v>1174309</c:v>
                </c:pt>
                <c:pt idx="1">
                  <c:v>916192.25</c:v>
                </c:pt>
                <c:pt idx="2">
                  <c:v>84639.75</c:v>
                </c:pt>
                <c:pt idx="3">
                  <c:v>6045</c:v>
                </c:pt>
                <c:pt idx="4">
                  <c:v>3211.32</c:v>
                </c:pt>
                <c:pt idx="5">
                  <c:v>2366</c:v>
                </c:pt>
              </c:numCache>
            </c:numRef>
          </c:val>
          <c:extLst>
            <c:ext xmlns:c16="http://schemas.microsoft.com/office/drawing/2014/chart" uri="{C3380CC4-5D6E-409C-BE32-E72D297353CC}">
              <c16:uniqueId val="{00000003-90C1-4D21-9BF5-D0D1D9E035E0}"/>
            </c:ext>
          </c:extLst>
        </c:ser>
        <c:ser>
          <c:idx val="1"/>
          <c:order val="1"/>
          <c:tx>
            <c:strRef>
              <c:f>'Pivot Table'!$AN$3</c:f>
              <c:strCache>
                <c:ptCount val="1"/>
                <c:pt idx="0">
                  <c:v> الكمية</c:v>
                </c:pt>
              </c:strCache>
            </c:strRef>
          </c:tx>
          <c:spPr>
            <a:solidFill>
              <a:srgbClr val="0070C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Table'!$AL$4:$AL$10</c:f>
              <c:strCache>
                <c:ptCount val="6"/>
                <c:pt idx="0">
                  <c:v>جبنة المراعى 250جم</c:v>
                </c:pt>
                <c:pt idx="1">
                  <c:v>جبنة المراعى شيدر 250جم</c:v>
                </c:pt>
                <c:pt idx="2">
                  <c:v>جبنة المراعى 125جم</c:v>
                </c:pt>
                <c:pt idx="3">
                  <c:v>جبنة المراعى 500 جم رومى وشيدر</c:v>
                </c:pt>
                <c:pt idx="4">
                  <c:v>جبنة المراعى 500 جم</c:v>
                </c:pt>
                <c:pt idx="5">
                  <c:v>جبنة مثلثات 8 قطعة *24 علبة</c:v>
                </c:pt>
              </c:strCache>
            </c:strRef>
          </c:cat>
          <c:val>
            <c:numRef>
              <c:f>'Pivot Table'!$AN$4:$AN$10</c:f>
              <c:numCache>
                <c:formatCode>#,##0</c:formatCode>
                <c:ptCount val="6"/>
                <c:pt idx="0">
                  <c:v>2230</c:v>
                </c:pt>
                <c:pt idx="1">
                  <c:v>1695</c:v>
                </c:pt>
                <c:pt idx="2">
                  <c:v>195</c:v>
                </c:pt>
                <c:pt idx="3">
                  <c:v>13</c:v>
                </c:pt>
                <c:pt idx="4">
                  <c:v>7</c:v>
                </c:pt>
                <c:pt idx="5">
                  <c:v>2</c:v>
                </c:pt>
              </c:numCache>
            </c:numRef>
          </c:val>
          <c:extLst>
            <c:ext xmlns:c16="http://schemas.microsoft.com/office/drawing/2014/chart" uri="{C3380CC4-5D6E-409C-BE32-E72D297353CC}">
              <c16:uniqueId val="{00000004-90C1-4D21-9BF5-D0D1D9E035E0}"/>
            </c:ext>
          </c:extLst>
        </c:ser>
        <c:dLbls>
          <c:dLblPos val="ctr"/>
          <c:showLegendKey val="0"/>
          <c:showVal val="1"/>
          <c:showCatName val="0"/>
          <c:showSerName val="0"/>
          <c:showPercent val="0"/>
          <c:showBubbleSize val="0"/>
        </c:dLbls>
        <c:gapWidth val="150"/>
        <c:overlap val="100"/>
        <c:axId val="1683998463"/>
        <c:axId val="1683998943"/>
      </c:barChart>
      <c:catAx>
        <c:axId val="1683998463"/>
        <c:scaling>
          <c:orientation val="minMax"/>
        </c:scaling>
        <c:delete val="0"/>
        <c:axPos val="l"/>
        <c:numFmt formatCode="General" sourceLinked="1"/>
        <c:majorTickMark val="none"/>
        <c:minorTickMark val="none"/>
        <c:tickLblPos val="nextTo"/>
        <c:spPr>
          <a:noFill/>
          <a:ln w="9525" cap="flat" cmpd="sng" algn="ctr">
            <a:solidFill>
              <a:schemeClr val="accent2"/>
            </a:solidFill>
            <a:round/>
          </a:ln>
          <a:effectLst/>
        </c:spPr>
        <c:txPr>
          <a:bodyPr rot="-60000000" spcFirstLastPara="1" vertOverflow="ellipsis" vert="horz" wrap="square" anchor="ctr" anchorCtr="1"/>
          <a:lstStyle/>
          <a:p>
            <a:pPr>
              <a:defRPr sz="800" b="1" i="0" u="none" strike="noStrike" kern="1200" baseline="0">
                <a:solidFill>
                  <a:schemeClr val="bg1"/>
                </a:solidFill>
                <a:latin typeface="+mn-lt"/>
                <a:ea typeface="+mn-ea"/>
                <a:cs typeface="+mn-cs"/>
              </a:defRPr>
            </a:pPr>
            <a:endParaRPr lang="ar-EG"/>
          </a:p>
        </c:txPr>
        <c:crossAx val="1683998943"/>
        <c:crosses val="autoZero"/>
        <c:auto val="1"/>
        <c:lblAlgn val="ctr"/>
        <c:lblOffset val="100"/>
        <c:noMultiLvlLbl val="0"/>
      </c:catAx>
      <c:valAx>
        <c:axId val="1683998943"/>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683998463"/>
        <c:crosses val="autoZero"/>
        <c:crossBetween val="between"/>
      </c:valAx>
      <c:spPr>
        <a:noFill/>
        <a:ln>
          <a:noFill/>
        </a:ln>
        <a:effectLst/>
      </c:spPr>
    </c:plotArea>
    <c:legend>
      <c:legendPos val="r"/>
      <c:layout>
        <c:manualLayout>
          <c:xMode val="edge"/>
          <c:yMode val="edge"/>
          <c:x val="2.5083066660931904E-2"/>
          <c:y val="6.218952894046139E-2"/>
          <c:w val="0.17437851981323166"/>
          <c:h val="0.32792512778008015"/>
        </c:manualLayout>
      </c:layout>
      <c:overlay val="0"/>
      <c:spPr>
        <a:solidFill>
          <a:schemeClr val="tx1"/>
        </a:solid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[Sales2025.xlsx]Pivot Table!PivotTable12</c:name>
    <c:fmtId val="7"/>
  </c:pivotSource>
  <c:chart>
    <c:title>
      <c:tx>
        <c:rich>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r>
              <a:rPr lang="ar-EG" sz="1200" b="1">
                <a:solidFill>
                  <a:schemeClr val="bg1"/>
                </a:solidFill>
              </a:rPr>
              <a:t>مسحوبات </a:t>
            </a:r>
            <a:r>
              <a:rPr lang="ar-EG" sz="1200" b="1" baseline="0">
                <a:solidFill>
                  <a:schemeClr val="bg1"/>
                </a:solidFill>
              </a:rPr>
              <a:t> عصير والكميات</a:t>
            </a:r>
            <a:r>
              <a:rPr lang="ar-EG" sz="1200" b="1">
                <a:solidFill>
                  <a:schemeClr val="bg1"/>
                </a:solidFill>
              </a:rPr>
              <a:t> </a:t>
            </a:r>
          </a:p>
        </c:rich>
      </c:tx>
      <c:layout>
        <c:manualLayout>
          <c:xMode val="edge"/>
          <c:yMode val="edge"/>
          <c:x val="0.28862324607146622"/>
          <c:y val="4.469258530183727E-2"/>
        </c:manualLayout>
      </c:layout>
      <c:overlay val="0"/>
      <c:spPr>
        <a:noFill/>
        <a:ln>
          <a:noFill/>
        </a:ln>
        <a:effectLst/>
      </c:spPr>
      <c:txPr>
        <a:bodyPr rot="0" spcFirstLastPara="1" vertOverflow="ellipsis" vert="horz" wrap="square" anchor="ctr" anchorCtr="1"/>
        <a:lstStyle/>
        <a:p>
          <a:pPr>
            <a:defRPr sz="1200" b="1" i="0" u="none" strike="noStrike" kern="1200" spc="0" baseline="0">
              <a:solidFill>
                <a:schemeClr val="bg1"/>
              </a:solidFill>
              <a:latin typeface="+mn-lt"/>
              <a:ea typeface="+mn-ea"/>
              <a:cs typeface="+mn-cs"/>
            </a:defRPr>
          </a:pPr>
          <a:endParaRPr lang="ar-EG"/>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ln>
                    <a:solidFill>
                      <a:schemeClr val="bg1"/>
                    </a:solidFill>
                  </a:ln>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ln>
                    <a:solidFill>
                      <a:schemeClr val="bg1"/>
                    </a:solidFill>
                  </a:ln>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bg1"/>
                    </a:solidFill>
                  </a:ln>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Table'!$AF$3</c:f>
              <c:strCache>
                <c:ptCount val="1"/>
                <c:pt idx="0">
                  <c:v>المبلغ</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Table'!$AE$4:$AE$13</c:f>
              <c:strCache>
                <c:ptCount val="9"/>
                <c:pt idx="0">
                  <c:v>عصير بيتى 235 ملى</c:v>
                </c:pt>
                <c:pt idx="1">
                  <c:v>عصير كل يوم 200 ملى</c:v>
                </c:pt>
                <c:pt idx="2">
                  <c:v>عصير بيتى 1 لتر (جوافة و تفاح و كوكتيل)</c:v>
                </c:pt>
                <c:pt idx="3">
                  <c:v>عصير بيتى 1 لتر (مانجو و اناناس وبرتقال)</c:v>
                </c:pt>
                <c:pt idx="4">
                  <c:v>عصير بيتى  1 لتر (مانجو ) عرض</c:v>
                </c:pt>
                <c:pt idx="5">
                  <c:v>عصير المراعى 1 لتر (مانجو )</c:v>
                </c:pt>
                <c:pt idx="6">
                  <c:v>عصير كل يوم 225ملى</c:v>
                </c:pt>
                <c:pt idx="7">
                  <c:v>عصير المراعى 1 لتر (اطعم مختلفة )</c:v>
                </c:pt>
                <c:pt idx="8">
                  <c:v>عصير المراعى 235 ملل</c:v>
                </c:pt>
              </c:strCache>
            </c:strRef>
          </c:cat>
          <c:val>
            <c:numRef>
              <c:f>'Pivot Table'!$AF$4:$AF$13</c:f>
              <c:numCache>
                <c:formatCode>#,##0</c:formatCode>
                <c:ptCount val="9"/>
                <c:pt idx="0">
                  <c:v>2000559.48</c:v>
                </c:pt>
                <c:pt idx="1">
                  <c:v>1045396.26</c:v>
                </c:pt>
                <c:pt idx="2">
                  <c:v>409159.4</c:v>
                </c:pt>
                <c:pt idx="3">
                  <c:v>176754.38</c:v>
                </c:pt>
                <c:pt idx="4">
                  <c:v>52108</c:v>
                </c:pt>
                <c:pt idx="5">
                  <c:v>38212.22</c:v>
                </c:pt>
                <c:pt idx="6">
                  <c:v>15200</c:v>
                </c:pt>
                <c:pt idx="7">
                  <c:v>7425.52</c:v>
                </c:pt>
                <c:pt idx="8">
                  <c:v>3630</c:v>
                </c:pt>
              </c:numCache>
            </c:numRef>
          </c:val>
          <c:extLst>
            <c:ext xmlns:c16="http://schemas.microsoft.com/office/drawing/2014/chart" uri="{C3380CC4-5D6E-409C-BE32-E72D297353CC}">
              <c16:uniqueId val="{00000000-C812-4F9F-BA53-BBE8678171A3}"/>
            </c:ext>
          </c:extLst>
        </c:ser>
        <c:ser>
          <c:idx val="1"/>
          <c:order val="1"/>
          <c:tx>
            <c:strRef>
              <c:f>'Pivot Table'!$AG$3</c:f>
              <c:strCache>
                <c:ptCount val="1"/>
                <c:pt idx="0">
                  <c:v> الكمية</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ln>
                      <a:solidFill>
                        <a:schemeClr val="bg1"/>
                      </a:solidFill>
                    </a:ln>
                    <a:solidFill>
                      <a:schemeClr val="bg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Table'!$AE$4:$AE$13</c:f>
              <c:strCache>
                <c:ptCount val="9"/>
                <c:pt idx="0">
                  <c:v>عصير بيتى 235 ملى</c:v>
                </c:pt>
                <c:pt idx="1">
                  <c:v>عصير كل يوم 200 ملى</c:v>
                </c:pt>
                <c:pt idx="2">
                  <c:v>عصير بيتى 1 لتر (جوافة و تفاح و كوكتيل)</c:v>
                </c:pt>
                <c:pt idx="3">
                  <c:v>عصير بيتى 1 لتر (مانجو و اناناس وبرتقال)</c:v>
                </c:pt>
                <c:pt idx="4">
                  <c:v>عصير بيتى  1 لتر (مانجو ) عرض</c:v>
                </c:pt>
                <c:pt idx="5">
                  <c:v>عصير المراعى 1 لتر (مانجو )</c:v>
                </c:pt>
                <c:pt idx="6">
                  <c:v>عصير كل يوم 225ملى</c:v>
                </c:pt>
                <c:pt idx="7">
                  <c:v>عصير المراعى 1 لتر (اطعم مختلفة )</c:v>
                </c:pt>
                <c:pt idx="8">
                  <c:v>عصير المراعى 235 ملل</c:v>
                </c:pt>
              </c:strCache>
            </c:strRef>
          </c:cat>
          <c:val>
            <c:numRef>
              <c:f>'Pivot Table'!$AG$4:$AG$13</c:f>
              <c:numCache>
                <c:formatCode>#,##0</c:formatCode>
                <c:ptCount val="9"/>
                <c:pt idx="0">
                  <c:v>8334</c:v>
                </c:pt>
                <c:pt idx="1">
                  <c:v>7772</c:v>
                </c:pt>
                <c:pt idx="2">
                  <c:v>1386</c:v>
                </c:pt>
                <c:pt idx="3">
                  <c:v>519</c:v>
                </c:pt>
                <c:pt idx="4">
                  <c:v>176</c:v>
                </c:pt>
                <c:pt idx="5">
                  <c:v>106</c:v>
                </c:pt>
                <c:pt idx="6">
                  <c:v>100</c:v>
                </c:pt>
                <c:pt idx="7">
                  <c:v>21</c:v>
                </c:pt>
                <c:pt idx="8">
                  <c:v>10</c:v>
                </c:pt>
              </c:numCache>
            </c:numRef>
          </c:val>
          <c:extLst>
            <c:ext xmlns:c16="http://schemas.microsoft.com/office/drawing/2014/chart" uri="{C3380CC4-5D6E-409C-BE32-E72D297353CC}">
              <c16:uniqueId val="{00000001-C812-4F9F-BA53-BBE8678171A3}"/>
            </c:ext>
          </c:extLst>
        </c:ser>
        <c:dLbls>
          <c:dLblPos val="ctr"/>
          <c:showLegendKey val="0"/>
          <c:showVal val="1"/>
          <c:showCatName val="0"/>
          <c:showSerName val="0"/>
          <c:showPercent val="0"/>
          <c:showBubbleSize val="0"/>
        </c:dLbls>
        <c:gapWidth val="150"/>
        <c:overlap val="100"/>
        <c:axId val="142598047"/>
        <c:axId val="142599007"/>
      </c:barChart>
      <c:catAx>
        <c:axId val="142598047"/>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600" b="0" i="0" u="none" strike="noStrike" kern="1200" baseline="0">
                <a:ln>
                  <a:solidFill>
                    <a:schemeClr val="bg1"/>
                  </a:solidFill>
                </a:ln>
                <a:solidFill>
                  <a:schemeClr val="bg1"/>
                </a:solidFill>
                <a:latin typeface="+mn-lt"/>
                <a:ea typeface="+mn-ea"/>
                <a:cs typeface="+mn-cs"/>
              </a:defRPr>
            </a:pPr>
            <a:endParaRPr lang="ar-EG"/>
          </a:p>
        </c:txPr>
        <c:crossAx val="142599007"/>
        <c:crosses val="autoZero"/>
        <c:auto val="1"/>
        <c:lblAlgn val="ctr"/>
        <c:lblOffset val="100"/>
        <c:noMultiLvlLbl val="0"/>
      </c:catAx>
      <c:valAx>
        <c:axId val="142599007"/>
        <c:scaling>
          <c:orientation val="minMax"/>
        </c:scaling>
        <c:delete val="1"/>
        <c:axPos val="b"/>
        <c:numFmt formatCode="0%" sourceLinked="1"/>
        <c:majorTickMark val="none"/>
        <c:minorTickMark val="none"/>
        <c:tickLblPos val="nextTo"/>
        <c:crossAx val="142598047"/>
        <c:crosses val="autoZero"/>
        <c:crossBetween val="between"/>
      </c:valAx>
      <c:spPr>
        <a:noFill/>
        <a:ln>
          <a:noFill/>
        </a:ln>
        <a:effectLst/>
      </c:spPr>
    </c:plotArea>
    <c:legend>
      <c:legendPos val="r"/>
      <c:layout>
        <c:manualLayout>
          <c:xMode val="edge"/>
          <c:yMode val="edge"/>
          <c:x val="0"/>
          <c:y val="1.8202099737532808E-2"/>
          <c:w val="0.28876541585207638"/>
          <c:h val="0.11776213910761155"/>
        </c:manualLayout>
      </c:layout>
      <c:overlay val="0"/>
      <c:spPr>
        <a:noFill/>
        <a:ln>
          <a:solidFill>
            <a:srgbClr val="00B0F0"/>
          </a:solidFill>
        </a:ln>
        <a:effectLst/>
      </c:spPr>
      <c:txPr>
        <a:bodyPr rot="0" spcFirstLastPara="1" vertOverflow="ellipsis" vert="horz" wrap="square" anchor="ctr" anchorCtr="1"/>
        <a:lstStyle/>
        <a:p>
          <a:pPr>
            <a:defRPr sz="800" b="1" i="0" u="none" strike="noStrike" kern="1200" baseline="0">
              <a:solidFill>
                <a:schemeClr val="bg2"/>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no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[Sales2025.xlsx]Pivot Table!PivotTable11</c:name>
    <c:fmtId val="2"/>
  </c:pivotSource>
  <c:chart>
    <c:title>
      <c:tx>
        <c:rich>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r>
              <a:rPr lang="ar-EG" b="1">
                <a:solidFill>
                  <a:schemeClr val="bg1"/>
                </a:solidFill>
              </a:rPr>
              <a:t>مسحوبات</a:t>
            </a:r>
            <a:r>
              <a:rPr lang="ar-EG" b="1" baseline="0">
                <a:solidFill>
                  <a:schemeClr val="bg1"/>
                </a:solidFill>
              </a:rPr>
              <a:t> الزبادى والكميات</a:t>
            </a:r>
            <a:endParaRPr lang="en-US" b="1">
              <a:solidFill>
                <a:schemeClr val="bg1"/>
              </a:solidFill>
            </a:endParaRPr>
          </a:p>
        </c:rich>
      </c:tx>
      <c:layout>
        <c:manualLayout>
          <c:xMode val="edge"/>
          <c:yMode val="edge"/>
          <c:x val="0.4454860017497812"/>
          <c:y val="2.3612492960990349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percentStacked"/>
        <c:varyColors val="0"/>
        <c:ser>
          <c:idx val="0"/>
          <c:order val="0"/>
          <c:tx>
            <c:strRef>
              <c:f>'Pivot Table'!$X$3</c:f>
              <c:strCache>
                <c:ptCount val="1"/>
                <c:pt idx="0">
                  <c:v>المبلغ</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Table'!$W$4:$W$21</c:f>
              <c:strCache>
                <c:ptCount val="17"/>
                <c:pt idx="0">
                  <c:v>زبادى فراولة 75 جم</c:v>
                </c:pt>
                <c:pt idx="1">
                  <c:v>زبادى طبيعى 75 جم</c:v>
                </c:pt>
                <c:pt idx="2">
                  <c:v>مشروب زبادى  220 جم (12 علبة)</c:v>
                </c:pt>
                <c:pt idx="3">
                  <c:v>مشروب زبادى 440جم YOGo</c:v>
                </c:pt>
                <c:pt idx="4">
                  <c:v>رايب المراعى 220 جم</c:v>
                </c:pt>
                <c:pt idx="5">
                  <c:v>زبادى تريتس بقطع الفواكهة عرض</c:v>
                </c:pt>
                <c:pt idx="6">
                  <c:v>زبادى دلة 65جم</c:v>
                </c:pt>
                <c:pt idx="7">
                  <c:v>زبادى قطع 70 جم</c:v>
                </c:pt>
                <c:pt idx="8">
                  <c:v>زبادى 170 جم (عرض وفر جنية) 24 علبة</c:v>
                </c:pt>
                <c:pt idx="9">
                  <c:v>زبادى بودينج 60 جم</c:v>
                </c:pt>
                <c:pt idx="10">
                  <c:v>رايب المراعى 440 جم</c:v>
                </c:pt>
                <c:pt idx="11">
                  <c:v>زبادى بيتى 65 جم</c:v>
                </c:pt>
                <c:pt idx="12">
                  <c:v>زبادى تريتس بقطع الفواكهة عرض48 قطعة</c:v>
                </c:pt>
                <c:pt idx="13">
                  <c:v>زبادى يونانى 170 جم (5%)</c:v>
                </c:pt>
                <c:pt idx="14">
                  <c:v>زبادى بيتى 65 جم  طبيعى</c:v>
                </c:pt>
                <c:pt idx="15">
                  <c:v>كيك باور لوزين</c:v>
                </c:pt>
                <c:pt idx="16">
                  <c:v>زبادى بيتى 65 فرولة</c:v>
                </c:pt>
              </c:strCache>
            </c:strRef>
          </c:cat>
          <c:val>
            <c:numRef>
              <c:f>'Pivot Table'!$X$4:$X$21</c:f>
              <c:numCache>
                <c:formatCode>#,##0</c:formatCode>
                <c:ptCount val="17"/>
                <c:pt idx="0">
                  <c:v>15204290.609999999</c:v>
                </c:pt>
                <c:pt idx="1">
                  <c:v>9792783.25</c:v>
                </c:pt>
                <c:pt idx="2">
                  <c:v>5727480.7999999998</c:v>
                </c:pt>
                <c:pt idx="3">
                  <c:v>970947.48</c:v>
                </c:pt>
                <c:pt idx="4">
                  <c:v>879096.08</c:v>
                </c:pt>
                <c:pt idx="5">
                  <c:v>307605.45</c:v>
                </c:pt>
                <c:pt idx="6">
                  <c:v>245089.8</c:v>
                </c:pt>
                <c:pt idx="7">
                  <c:v>166127.25</c:v>
                </c:pt>
                <c:pt idx="8">
                  <c:v>128871.4</c:v>
                </c:pt>
                <c:pt idx="9">
                  <c:v>71760</c:v>
                </c:pt>
                <c:pt idx="10">
                  <c:v>47640.72</c:v>
                </c:pt>
                <c:pt idx="11">
                  <c:v>30576</c:v>
                </c:pt>
                <c:pt idx="12">
                  <c:v>18786.8</c:v>
                </c:pt>
                <c:pt idx="13">
                  <c:v>12420</c:v>
                </c:pt>
                <c:pt idx="14">
                  <c:v>7643</c:v>
                </c:pt>
                <c:pt idx="15">
                  <c:v>3456</c:v>
                </c:pt>
                <c:pt idx="16">
                  <c:v>1965</c:v>
                </c:pt>
              </c:numCache>
            </c:numRef>
          </c:val>
          <c:extLst>
            <c:ext xmlns:c16="http://schemas.microsoft.com/office/drawing/2014/chart" uri="{C3380CC4-5D6E-409C-BE32-E72D297353CC}">
              <c16:uniqueId val="{00000000-030C-44B7-95C2-C6F69C3EB6BF}"/>
            </c:ext>
          </c:extLst>
        </c:ser>
        <c:ser>
          <c:idx val="1"/>
          <c:order val="1"/>
          <c:tx>
            <c:strRef>
              <c:f>'Pivot Table'!$Y$3</c:f>
              <c:strCache>
                <c:ptCount val="1"/>
                <c:pt idx="0">
                  <c:v> الكمية</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ar-EG"/>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Table'!$W$4:$W$21</c:f>
              <c:strCache>
                <c:ptCount val="17"/>
                <c:pt idx="0">
                  <c:v>زبادى فراولة 75 جم</c:v>
                </c:pt>
                <c:pt idx="1">
                  <c:v>زبادى طبيعى 75 جم</c:v>
                </c:pt>
                <c:pt idx="2">
                  <c:v>مشروب زبادى  220 جم (12 علبة)</c:v>
                </c:pt>
                <c:pt idx="3">
                  <c:v>مشروب زبادى 440جم YOGo</c:v>
                </c:pt>
                <c:pt idx="4">
                  <c:v>رايب المراعى 220 جم</c:v>
                </c:pt>
                <c:pt idx="5">
                  <c:v>زبادى تريتس بقطع الفواكهة عرض</c:v>
                </c:pt>
                <c:pt idx="6">
                  <c:v>زبادى دلة 65جم</c:v>
                </c:pt>
                <c:pt idx="7">
                  <c:v>زبادى قطع 70 جم</c:v>
                </c:pt>
                <c:pt idx="8">
                  <c:v>زبادى 170 جم (عرض وفر جنية) 24 علبة</c:v>
                </c:pt>
                <c:pt idx="9">
                  <c:v>زبادى بودينج 60 جم</c:v>
                </c:pt>
                <c:pt idx="10">
                  <c:v>رايب المراعى 440 جم</c:v>
                </c:pt>
                <c:pt idx="11">
                  <c:v>زبادى بيتى 65 جم</c:v>
                </c:pt>
                <c:pt idx="12">
                  <c:v>زبادى تريتس بقطع الفواكهة عرض48 قطعة</c:v>
                </c:pt>
                <c:pt idx="13">
                  <c:v>زبادى يونانى 170 جم (5%)</c:v>
                </c:pt>
                <c:pt idx="14">
                  <c:v>زبادى بيتى 65 جم  طبيعى</c:v>
                </c:pt>
                <c:pt idx="15">
                  <c:v>كيك باور لوزين</c:v>
                </c:pt>
                <c:pt idx="16">
                  <c:v>زبادى بيتى 65 فرولة</c:v>
                </c:pt>
              </c:strCache>
            </c:strRef>
          </c:cat>
          <c:val>
            <c:numRef>
              <c:f>'Pivot Table'!$Y$4:$Y$21</c:f>
              <c:numCache>
                <c:formatCode>#,##0</c:formatCode>
                <c:ptCount val="17"/>
                <c:pt idx="0">
                  <c:v>51154</c:v>
                </c:pt>
                <c:pt idx="1">
                  <c:v>33031</c:v>
                </c:pt>
                <c:pt idx="2">
                  <c:v>30796</c:v>
                </c:pt>
                <c:pt idx="3">
                  <c:v>3070</c:v>
                </c:pt>
                <c:pt idx="4">
                  <c:v>4708</c:v>
                </c:pt>
                <c:pt idx="5">
                  <c:v>1331</c:v>
                </c:pt>
                <c:pt idx="6">
                  <c:v>1399</c:v>
                </c:pt>
                <c:pt idx="7">
                  <c:v>617</c:v>
                </c:pt>
                <c:pt idx="8">
                  <c:v>1017.6</c:v>
                </c:pt>
                <c:pt idx="9">
                  <c:v>552</c:v>
                </c:pt>
                <c:pt idx="10">
                  <c:v>151</c:v>
                </c:pt>
                <c:pt idx="11">
                  <c:v>140</c:v>
                </c:pt>
                <c:pt idx="12">
                  <c:v>38</c:v>
                </c:pt>
                <c:pt idx="13">
                  <c:v>15</c:v>
                </c:pt>
                <c:pt idx="14">
                  <c:v>35</c:v>
                </c:pt>
                <c:pt idx="15">
                  <c:v>3</c:v>
                </c:pt>
                <c:pt idx="16">
                  <c:v>9</c:v>
                </c:pt>
              </c:numCache>
            </c:numRef>
          </c:val>
          <c:extLst>
            <c:ext xmlns:c16="http://schemas.microsoft.com/office/drawing/2014/chart" uri="{C3380CC4-5D6E-409C-BE32-E72D297353CC}">
              <c16:uniqueId val="{00000001-030C-44B7-95C2-C6F69C3EB6BF}"/>
            </c:ext>
          </c:extLst>
        </c:ser>
        <c:dLbls>
          <c:dLblPos val="ctr"/>
          <c:showLegendKey val="0"/>
          <c:showVal val="1"/>
          <c:showCatName val="0"/>
          <c:showSerName val="0"/>
          <c:showPercent val="0"/>
          <c:showBubbleSize val="0"/>
        </c:dLbls>
        <c:gapWidth val="150"/>
        <c:overlap val="100"/>
        <c:axId val="969893552"/>
        <c:axId val="969871472"/>
      </c:barChart>
      <c:catAx>
        <c:axId val="9698935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crossAx val="969871472"/>
        <c:crosses val="autoZero"/>
        <c:auto val="1"/>
        <c:lblAlgn val="ctr"/>
        <c:lblOffset val="100"/>
        <c:noMultiLvlLbl val="0"/>
      </c:catAx>
      <c:valAx>
        <c:axId val="969871472"/>
        <c:scaling>
          <c:orientation val="minMax"/>
        </c:scaling>
        <c:delete val="1"/>
        <c:axPos val="b"/>
        <c:numFmt formatCode="0%" sourceLinked="1"/>
        <c:majorTickMark val="none"/>
        <c:minorTickMark val="none"/>
        <c:tickLblPos val="nextTo"/>
        <c:crossAx val="969893552"/>
        <c:crosses val="autoZero"/>
        <c:crossBetween val="between"/>
      </c:valAx>
      <c:spPr>
        <a:noFill/>
        <a:ln>
          <a:noFill/>
        </a:ln>
        <a:effectLst/>
      </c:spPr>
    </c:plotArea>
    <c:legend>
      <c:legendPos val="r"/>
      <c:layout>
        <c:manualLayout>
          <c:xMode val="edge"/>
          <c:yMode val="edge"/>
          <c:x val="3.1176290463692038E-2"/>
          <c:y val="2.2348434405726304E-2"/>
          <c:w val="0.31072115196803374"/>
          <c:h val="8.485809379783940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ar-EG"/>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solidFill>
    <a:ln w="9525" cap="flat" cmpd="sng" algn="ctr">
      <a:solidFill>
        <a:schemeClr val="tx1">
          <a:lumMod val="15000"/>
          <a:lumOff val="85000"/>
        </a:schemeClr>
      </a:solidFill>
      <a:round/>
    </a:ln>
    <a:effectLst/>
  </c:spPr>
  <c:txPr>
    <a:bodyPr/>
    <a:lstStyle/>
    <a:p>
      <a:pPr>
        <a:defRPr/>
      </a:pPr>
      <a:endParaRPr lang="ar-EG"/>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8" Type="http://schemas.openxmlformats.org/officeDocument/2006/relationships/image" Target="../media/image4.jpeg"/><Relationship Id="rId3" Type="http://schemas.openxmlformats.org/officeDocument/2006/relationships/chart" Target="../charts/chart7.xml"/><Relationship Id="rId7" Type="http://schemas.openxmlformats.org/officeDocument/2006/relationships/image" Target="../media/image3.jpe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2.jpeg"/><Relationship Id="rId5" Type="http://schemas.openxmlformats.org/officeDocument/2006/relationships/image" Target="../media/image1.jpeg"/><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30</xdr:col>
      <xdr:colOff>900339</xdr:colOff>
      <xdr:row>21</xdr:row>
      <xdr:rowOff>255132</xdr:rowOff>
    </xdr:from>
    <xdr:to>
      <xdr:col>34</xdr:col>
      <xdr:colOff>136071</xdr:colOff>
      <xdr:row>33</xdr:row>
      <xdr:rowOff>68034</xdr:rowOff>
    </xdr:to>
    <xdr:graphicFrame macro="">
      <xdr:nvGraphicFramePr>
        <xdr:cNvPr id="3" name="Chart 2">
          <a:extLst>
            <a:ext uri="{FF2B5EF4-FFF2-40B4-BE49-F238E27FC236}">
              <a16:creationId xmlns:a16="http://schemas.microsoft.com/office/drawing/2014/main" id="{76E20352-32C7-FE89-114A-EBF718867F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1366227</xdr:colOff>
      <xdr:row>26</xdr:row>
      <xdr:rowOff>291855</xdr:rowOff>
    </xdr:from>
    <xdr:to>
      <xdr:col>3</xdr:col>
      <xdr:colOff>415192</xdr:colOff>
      <xdr:row>45</xdr:row>
      <xdr:rowOff>7815</xdr:rowOff>
    </xdr:to>
    <mc:AlternateContent xmlns:mc="http://schemas.openxmlformats.org/markup-compatibility/2006" xmlns:a14="http://schemas.microsoft.com/office/drawing/2010/main">
      <mc:Choice Requires="a14">
        <xdr:graphicFrame macro="">
          <xdr:nvGraphicFramePr>
            <xdr:cNvPr id="11" name="الشهور">
              <a:extLst>
                <a:ext uri="{FF2B5EF4-FFF2-40B4-BE49-F238E27FC236}">
                  <a16:creationId xmlns:a16="http://schemas.microsoft.com/office/drawing/2014/main" id="{DDF9FFAF-B369-9616-4989-9686FC2A4D63}"/>
                </a:ext>
              </a:extLst>
            </xdr:cNvPr>
            <xdr:cNvGraphicFramePr/>
          </xdr:nvGraphicFramePr>
          <xdr:xfrm>
            <a:off x="0" y="0"/>
            <a:ext cx="0" cy="0"/>
          </xdr:xfrm>
          <a:graphic>
            <a:graphicData uri="http://schemas.microsoft.com/office/drawing/2010/slicer">
              <sle:slicer xmlns:sle="http://schemas.microsoft.com/office/drawing/2010/slicer" name="الشهور"/>
            </a:graphicData>
          </a:graphic>
        </xdr:graphicFrame>
      </mc:Choice>
      <mc:Fallback xmlns="">
        <xdr:sp macro="" textlink="">
          <xdr:nvSpPr>
            <xdr:cNvPr id="0" name=""/>
            <xdr:cNvSpPr>
              <a:spLocks noTextEdit="1"/>
            </xdr:cNvSpPr>
          </xdr:nvSpPr>
          <xdr:spPr>
            <a:xfrm>
              <a:off x="4064977" y="7724286"/>
              <a:ext cx="758581" cy="3676894"/>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131378</xdr:colOff>
      <xdr:row>0</xdr:row>
      <xdr:rowOff>43794</xdr:rowOff>
    </xdr:from>
    <xdr:to>
      <xdr:col>16</xdr:col>
      <xdr:colOff>571500</xdr:colOff>
      <xdr:row>29</xdr:row>
      <xdr:rowOff>152400</xdr:rowOff>
    </xdr:to>
    <xdr:sp macro="" textlink="">
      <xdr:nvSpPr>
        <xdr:cNvPr id="2" name="Rectangle: Rounded Corners 1">
          <a:extLst>
            <a:ext uri="{FF2B5EF4-FFF2-40B4-BE49-F238E27FC236}">
              <a16:creationId xmlns:a16="http://schemas.microsoft.com/office/drawing/2014/main" id="{3BD00FA0-4042-7C1E-0B66-FF2CEB110365}"/>
            </a:ext>
          </a:extLst>
        </xdr:cNvPr>
        <xdr:cNvSpPr/>
      </xdr:nvSpPr>
      <xdr:spPr>
        <a:xfrm>
          <a:off x="131378" y="43794"/>
          <a:ext cx="11412922" cy="5264806"/>
        </a:xfrm>
        <a:prstGeom prst="roundRect">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431799</xdr:colOff>
      <xdr:row>2</xdr:row>
      <xdr:rowOff>32845</xdr:rowOff>
    </xdr:from>
    <xdr:to>
      <xdr:col>1</xdr:col>
      <xdr:colOff>503620</xdr:colOff>
      <xdr:row>28</xdr:row>
      <xdr:rowOff>1</xdr:rowOff>
    </xdr:to>
    <xdr:sp macro="" textlink="">
      <xdr:nvSpPr>
        <xdr:cNvPr id="3" name="Rectangle: Rounded Corners 2">
          <a:extLst>
            <a:ext uri="{FF2B5EF4-FFF2-40B4-BE49-F238E27FC236}">
              <a16:creationId xmlns:a16="http://schemas.microsoft.com/office/drawing/2014/main" id="{DF0838B7-3AED-4D9E-B5B3-9441623E72CA}"/>
            </a:ext>
          </a:extLst>
        </xdr:cNvPr>
        <xdr:cNvSpPr/>
      </xdr:nvSpPr>
      <xdr:spPr>
        <a:xfrm>
          <a:off x="431799" y="388445"/>
          <a:ext cx="757621" cy="4589956"/>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514568</xdr:colOff>
      <xdr:row>3</xdr:row>
      <xdr:rowOff>63500</xdr:rowOff>
    </xdr:from>
    <xdr:to>
      <xdr:col>16</xdr:col>
      <xdr:colOff>419099</xdr:colOff>
      <xdr:row>5</xdr:row>
      <xdr:rowOff>164225</xdr:rowOff>
    </xdr:to>
    <xdr:sp macro="" textlink="">
      <xdr:nvSpPr>
        <xdr:cNvPr id="4" name="Rectangle: Rounded Corners 3">
          <a:extLst>
            <a:ext uri="{FF2B5EF4-FFF2-40B4-BE49-F238E27FC236}">
              <a16:creationId xmlns:a16="http://schemas.microsoft.com/office/drawing/2014/main" id="{9BFC897E-86F1-4D02-86A7-CB13434754D0}"/>
            </a:ext>
          </a:extLst>
        </xdr:cNvPr>
        <xdr:cNvSpPr/>
      </xdr:nvSpPr>
      <xdr:spPr>
        <a:xfrm>
          <a:off x="1200368" y="596900"/>
          <a:ext cx="10191531" cy="456325"/>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535588</xdr:colOff>
      <xdr:row>6</xdr:row>
      <xdr:rowOff>21021</xdr:rowOff>
    </xdr:from>
    <xdr:to>
      <xdr:col>16</xdr:col>
      <xdr:colOff>495299</xdr:colOff>
      <xdr:row>16</xdr:row>
      <xdr:rowOff>43793</xdr:rowOff>
    </xdr:to>
    <xdr:sp macro="" textlink="">
      <xdr:nvSpPr>
        <xdr:cNvPr id="5" name="Rectangle: Rounded Corners 4">
          <a:extLst>
            <a:ext uri="{FF2B5EF4-FFF2-40B4-BE49-F238E27FC236}">
              <a16:creationId xmlns:a16="http://schemas.microsoft.com/office/drawing/2014/main" id="{BDDB19A9-BA55-4AE5-9A94-FD59F4D59E5C}"/>
            </a:ext>
          </a:extLst>
        </xdr:cNvPr>
        <xdr:cNvSpPr/>
      </xdr:nvSpPr>
      <xdr:spPr>
        <a:xfrm>
          <a:off x="1221388" y="1087821"/>
          <a:ext cx="10246711" cy="1800772"/>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545662</xdr:colOff>
      <xdr:row>16</xdr:row>
      <xdr:rowOff>175172</xdr:rowOff>
    </xdr:from>
    <xdr:to>
      <xdr:col>16</xdr:col>
      <xdr:colOff>292100</xdr:colOff>
      <xdr:row>29</xdr:row>
      <xdr:rowOff>25400</xdr:rowOff>
    </xdr:to>
    <xdr:sp macro="" textlink="">
      <xdr:nvSpPr>
        <xdr:cNvPr id="7" name="Rectangle: Rounded Corners 6">
          <a:extLst>
            <a:ext uri="{FF2B5EF4-FFF2-40B4-BE49-F238E27FC236}">
              <a16:creationId xmlns:a16="http://schemas.microsoft.com/office/drawing/2014/main" id="{358601B5-5342-4B86-8E3A-A061C8F19AFC}"/>
            </a:ext>
          </a:extLst>
        </xdr:cNvPr>
        <xdr:cNvSpPr/>
      </xdr:nvSpPr>
      <xdr:spPr>
        <a:xfrm>
          <a:off x="1231462" y="3019972"/>
          <a:ext cx="10033438" cy="2161628"/>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634998</xdr:colOff>
      <xdr:row>6</xdr:row>
      <xdr:rowOff>98532</xdr:rowOff>
    </xdr:from>
    <xdr:to>
      <xdr:col>16</xdr:col>
      <xdr:colOff>152399</xdr:colOff>
      <xdr:row>16</xdr:row>
      <xdr:rowOff>114299</xdr:rowOff>
    </xdr:to>
    <xdr:graphicFrame macro="">
      <xdr:nvGraphicFramePr>
        <xdr:cNvPr id="8" name="Chart 7">
          <a:extLst>
            <a:ext uri="{FF2B5EF4-FFF2-40B4-BE49-F238E27FC236}">
              <a16:creationId xmlns:a16="http://schemas.microsoft.com/office/drawing/2014/main" id="{73972382-8AAF-4B47-86CA-438D78D18C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624052</xdr:colOff>
      <xdr:row>17</xdr:row>
      <xdr:rowOff>0</xdr:rowOff>
    </xdr:from>
    <xdr:to>
      <xdr:col>5</xdr:col>
      <xdr:colOff>546099</xdr:colOff>
      <xdr:row>28</xdr:row>
      <xdr:rowOff>101600</xdr:rowOff>
    </xdr:to>
    <xdr:graphicFrame macro="">
      <xdr:nvGraphicFramePr>
        <xdr:cNvPr id="9" name="Chart 8">
          <a:extLst>
            <a:ext uri="{FF2B5EF4-FFF2-40B4-BE49-F238E27FC236}">
              <a16:creationId xmlns:a16="http://schemas.microsoft.com/office/drawing/2014/main" id="{16686FCE-945F-4A15-AB7C-67B949C19E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317500</xdr:colOff>
      <xdr:row>17</xdr:row>
      <xdr:rowOff>63501</xdr:rowOff>
    </xdr:from>
    <xdr:to>
      <xdr:col>16</xdr:col>
      <xdr:colOff>12700</xdr:colOff>
      <xdr:row>29</xdr:row>
      <xdr:rowOff>12700</xdr:rowOff>
    </xdr:to>
    <xdr:graphicFrame macro="">
      <xdr:nvGraphicFramePr>
        <xdr:cNvPr id="13" name="Chart 12">
          <a:extLst>
            <a:ext uri="{FF2B5EF4-FFF2-40B4-BE49-F238E27FC236}">
              <a16:creationId xmlns:a16="http://schemas.microsoft.com/office/drawing/2014/main" id="{2FEF3ADD-5BB8-489C-A2C1-BA70DC17AB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355600</xdr:colOff>
      <xdr:row>4</xdr:row>
      <xdr:rowOff>0</xdr:rowOff>
    </xdr:from>
    <xdr:to>
      <xdr:col>16</xdr:col>
      <xdr:colOff>127000</xdr:colOff>
      <xdr:row>5</xdr:row>
      <xdr:rowOff>88900</xdr:rowOff>
    </xdr:to>
    <xdr:sp macro="" textlink="">
      <xdr:nvSpPr>
        <xdr:cNvPr id="6" name="TextBox 5">
          <a:extLst>
            <a:ext uri="{FF2B5EF4-FFF2-40B4-BE49-F238E27FC236}">
              <a16:creationId xmlns:a16="http://schemas.microsoft.com/office/drawing/2014/main" id="{1BBC0DC0-9B31-412C-B612-864BBA220D8B}"/>
            </a:ext>
          </a:extLst>
        </xdr:cNvPr>
        <xdr:cNvSpPr txBox="1"/>
      </xdr:nvSpPr>
      <xdr:spPr>
        <a:xfrm>
          <a:off x="9956800" y="711200"/>
          <a:ext cx="1143000" cy="266700"/>
        </a:xfrm>
        <a:prstGeom prst="rect">
          <a:avLst/>
        </a:prstGeom>
        <a:solidFill>
          <a:schemeClr val="tx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ar-EG" sz="1200" b="1">
              <a:ln>
                <a:solidFill>
                  <a:schemeClr val="bg2"/>
                </a:solidFill>
              </a:ln>
              <a:solidFill>
                <a:schemeClr val="bg1"/>
              </a:solidFill>
              <a:latin typeface="Arial Black" panose="020B0A04020102020204" pitchFamily="34" charset="0"/>
            </a:rPr>
            <a:t>عدد</a:t>
          </a:r>
          <a:r>
            <a:rPr lang="ar-EG" sz="1200" b="1" baseline="0">
              <a:solidFill>
                <a:schemeClr val="bg1"/>
              </a:solidFill>
            </a:rPr>
            <a:t> </a:t>
          </a:r>
          <a:r>
            <a:rPr lang="ar-EG" sz="1200" b="1">
              <a:ln>
                <a:solidFill>
                  <a:schemeClr val="bg2"/>
                </a:solidFill>
              </a:ln>
              <a:solidFill>
                <a:schemeClr val="bg1"/>
              </a:solidFill>
              <a:latin typeface="Arial Black" panose="020B0A04020102020204" pitchFamily="34" charset="0"/>
              <a:ea typeface="+mn-ea"/>
              <a:cs typeface="+mn-cs"/>
            </a:rPr>
            <a:t>الطلبيات</a:t>
          </a:r>
        </a:p>
      </xdr:txBody>
    </xdr:sp>
    <xdr:clientData/>
  </xdr:twoCellAnchor>
  <xdr:twoCellAnchor>
    <xdr:from>
      <xdr:col>12</xdr:col>
      <xdr:colOff>622300</xdr:colOff>
      <xdr:row>3</xdr:row>
      <xdr:rowOff>165101</xdr:rowOff>
    </xdr:from>
    <xdr:to>
      <xdr:col>14</xdr:col>
      <xdr:colOff>203200</xdr:colOff>
      <xdr:row>5</xdr:row>
      <xdr:rowOff>76201</xdr:rowOff>
    </xdr:to>
    <xdr:sp macro="" textlink="'Pivot Table'!A4">
      <xdr:nvSpPr>
        <xdr:cNvPr id="10" name="TextBox 9">
          <a:extLst>
            <a:ext uri="{FF2B5EF4-FFF2-40B4-BE49-F238E27FC236}">
              <a16:creationId xmlns:a16="http://schemas.microsoft.com/office/drawing/2014/main" id="{B39F679D-4B7C-4219-B49D-359178463182}"/>
            </a:ext>
          </a:extLst>
        </xdr:cNvPr>
        <xdr:cNvSpPr txBox="1"/>
      </xdr:nvSpPr>
      <xdr:spPr>
        <a:xfrm rot="10800000" flipH="1" flipV="1">
          <a:off x="8851900" y="698501"/>
          <a:ext cx="952500" cy="2667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94E3272D-D636-49B1-995A-003F9BC3AB5D}" type="TxLink">
            <a:rPr lang="en-US" sz="1600" b="1" i="0" u="none" strike="noStrike">
              <a:solidFill>
                <a:srgbClr val="000000"/>
              </a:solidFill>
              <a:latin typeface="Arial"/>
              <a:cs typeface="Arial"/>
            </a:rPr>
            <a:pPr algn="ctr"/>
            <a:t>161</a:t>
          </a:fld>
          <a:endParaRPr lang="ar-EG" sz="1600" b="1"/>
        </a:p>
      </xdr:txBody>
    </xdr:sp>
    <xdr:clientData/>
  </xdr:twoCellAnchor>
  <xdr:twoCellAnchor>
    <xdr:from>
      <xdr:col>10</xdr:col>
      <xdr:colOff>12700</xdr:colOff>
      <xdr:row>3</xdr:row>
      <xdr:rowOff>142671</xdr:rowOff>
    </xdr:from>
    <xdr:to>
      <xdr:col>12</xdr:col>
      <xdr:colOff>428844</xdr:colOff>
      <xdr:row>5</xdr:row>
      <xdr:rowOff>88900</xdr:rowOff>
    </xdr:to>
    <xdr:sp macro="" textlink="">
      <xdr:nvSpPr>
        <xdr:cNvPr id="11" name="TextBox 10">
          <a:extLst>
            <a:ext uri="{FF2B5EF4-FFF2-40B4-BE49-F238E27FC236}">
              <a16:creationId xmlns:a16="http://schemas.microsoft.com/office/drawing/2014/main" id="{D466FDF2-D881-40B8-8C96-B174FE1D4348}"/>
            </a:ext>
          </a:extLst>
        </xdr:cNvPr>
        <xdr:cNvSpPr txBox="1"/>
      </xdr:nvSpPr>
      <xdr:spPr>
        <a:xfrm>
          <a:off x="6870700" y="676071"/>
          <a:ext cx="1787744" cy="301829"/>
        </a:xfrm>
        <a:prstGeom prst="rect">
          <a:avLst/>
        </a:prstGeom>
        <a:solidFill>
          <a:schemeClr val="tx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ar-EG" sz="1400" b="1">
              <a:ln>
                <a:solidFill>
                  <a:schemeClr val="bg2"/>
                </a:solidFill>
              </a:ln>
              <a:solidFill>
                <a:schemeClr val="bg1"/>
              </a:solidFill>
              <a:latin typeface="Arial Black" panose="020B0A04020102020204" pitchFamily="34" charset="0"/>
            </a:rPr>
            <a:t>اجمالى</a:t>
          </a:r>
          <a:r>
            <a:rPr lang="ar-EG" sz="1400" b="1" baseline="0">
              <a:ln>
                <a:solidFill>
                  <a:schemeClr val="bg2"/>
                </a:solidFill>
              </a:ln>
              <a:solidFill>
                <a:schemeClr val="bg1"/>
              </a:solidFill>
              <a:latin typeface="Arial Black" panose="020B0A04020102020204" pitchFamily="34" charset="0"/>
            </a:rPr>
            <a:t> المسحوبات</a:t>
          </a:r>
          <a:endParaRPr lang="ar-EG" sz="1400" b="1">
            <a:solidFill>
              <a:schemeClr val="bg1"/>
            </a:solidFill>
          </a:endParaRPr>
        </a:p>
      </xdr:txBody>
    </xdr:sp>
    <xdr:clientData/>
  </xdr:twoCellAnchor>
  <xdr:twoCellAnchor>
    <xdr:from>
      <xdr:col>7</xdr:col>
      <xdr:colOff>342899</xdr:colOff>
      <xdr:row>3</xdr:row>
      <xdr:rowOff>165100</xdr:rowOff>
    </xdr:from>
    <xdr:to>
      <xdr:col>9</xdr:col>
      <xdr:colOff>549494</xdr:colOff>
      <xdr:row>5</xdr:row>
      <xdr:rowOff>88900</xdr:rowOff>
    </xdr:to>
    <xdr:sp macro="" textlink="'Pivot Table'!A10">
      <xdr:nvSpPr>
        <xdr:cNvPr id="12" name="TextBox 11">
          <a:extLst>
            <a:ext uri="{FF2B5EF4-FFF2-40B4-BE49-F238E27FC236}">
              <a16:creationId xmlns:a16="http://schemas.microsoft.com/office/drawing/2014/main" id="{4EDE4221-5469-4AD6-8A30-EFEB819BACBB}"/>
            </a:ext>
          </a:extLst>
        </xdr:cNvPr>
        <xdr:cNvSpPr txBox="1"/>
      </xdr:nvSpPr>
      <xdr:spPr>
        <a:xfrm rot="10800000" flipH="1" flipV="1">
          <a:off x="5143499" y="698500"/>
          <a:ext cx="1578195" cy="2794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CF2F9258-A754-4DC1-B562-9A889B2DDB73}" type="TxLink">
            <a:rPr lang="en-US" sz="1600" b="1" i="0" u="none" strike="noStrike">
              <a:solidFill>
                <a:srgbClr val="000000"/>
              </a:solidFill>
              <a:latin typeface="Arial"/>
              <a:cs typeface="Arial"/>
            </a:rPr>
            <a:pPr algn="ctr"/>
            <a:t>39,915,237 </a:t>
          </a:fld>
          <a:endParaRPr lang="ar-EG" sz="1500" b="1"/>
        </a:p>
      </xdr:txBody>
    </xdr:sp>
    <xdr:clientData/>
  </xdr:twoCellAnchor>
  <xdr:twoCellAnchor>
    <xdr:from>
      <xdr:col>4</xdr:col>
      <xdr:colOff>635000</xdr:colOff>
      <xdr:row>3</xdr:row>
      <xdr:rowOff>165100</xdr:rowOff>
    </xdr:from>
    <xdr:to>
      <xdr:col>7</xdr:col>
      <xdr:colOff>228600</xdr:colOff>
      <xdr:row>5</xdr:row>
      <xdr:rowOff>88900</xdr:rowOff>
    </xdr:to>
    <xdr:sp macro="" textlink="">
      <xdr:nvSpPr>
        <xdr:cNvPr id="14" name="TextBox 13">
          <a:extLst>
            <a:ext uri="{FF2B5EF4-FFF2-40B4-BE49-F238E27FC236}">
              <a16:creationId xmlns:a16="http://schemas.microsoft.com/office/drawing/2014/main" id="{EFDF7865-A3F2-44DB-A4FA-408ADA38922D}"/>
            </a:ext>
          </a:extLst>
        </xdr:cNvPr>
        <xdr:cNvSpPr txBox="1"/>
      </xdr:nvSpPr>
      <xdr:spPr>
        <a:xfrm>
          <a:off x="3378200" y="698500"/>
          <a:ext cx="1651000" cy="279400"/>
        </a:xfrm>
        <a:prstGeom prst="rect">
          <a:avLst/>
        </a:prstGeom>
        <a:solidFill>
          <a:schemeClr val="tx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ar-EG" sz="1200" b="1">
              <a:solidFill>
                <a:schemeClr val="bg1"/>
              </a:solidFill>
            </a:rPr>
            <a:t>ا</a:t>
          </a:r>
          <a:r>
            <a:rPr lang="ar-EG" sz="1600" b="1">
              <a:solidFill>
                <a:schemeClr val="bg1"/>
              </a:solidFill>
            </a:rPr>
            <a:t>لمستهدف</a:t>
          </a:r>
        </a:p>
      </xdr:txBody>
    </xdr:sp>
    <xdr:clientData/>
  </xdr:twoCellAnchor>
  <xdr:twoCellAnchor>
    <xdr:from>
      <xdr:col>2</xdr:col>
      <xdr:colOff>88900</xdr:colOff>
      <xdr:row>3</xdr:row>
      <xdr:rowOff>165100</xdr:rowOff>
    </xdr:from>
    <xdr:to>
      <xdr:col>4</xdr:col>
      <xdr:colOff>355600</xdr:colOff>
      <xdr:row>5</xdr:row>
      <xdr:rowOff>76200</xdr:rowOff>
    </xdr:to>
    <xdr:sp macro="" textlink="'Pivot Table'!A16">
      <xdr:nvSpPr>
        <xdr:cNvPr id="15" name="TextBox 14">
          <a:extLst>
            <a:ext uri="{FF2B5EF4-FFF2-40B4-BE49-F238E27FC236}">
              <a16:creationId xmlns:a16="http://schemas.microsoft.com/office/drawing/2014/main" id="{4C2876F5-9FF2-4CF4-961E-EFCF252F8879}"/>
            </a:ext>
          </a:extLst>
        </xdr:cNvPr>
        <xdr:cNvSpPr txBox="1"/>
      </xdr:nvSpPr>
      <xdr:spPr>
        <a:xfrm rot="10800000" flipH="1" flipV="1">
          <a:off x="1460500" y="698500"/>
          <a:ext cx="1638300" cy="2667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C2E51901-7D4C-42A5-8416-35E7CC757341}" type="TxLink">
            <a:rPr lang="en-US" sz="1600" b="1" i="0" u="none" strike="noStrike">
              <a:solidFill>
                <a:srgbClr val="000000"/>
              </a:solidFill>
              <a:latin typeface="Arial"/>
              <a:cs typeface="Arial"/>
            </a:rPr>
            <a:pPr algn="ctr"/>
            <a:t>33,065,667 </a:t>
          </a:fld>
          <a:endParaRPr lang="ar-EG" sz="1500" b="1"/>
        </a:p>
      </xdr:txBody>
    </xdr:sp>
    <xdr:clientData/>
  </xdr:twoCellAnchor>
  <xdr:twoCellAnchor editAs="oneCell">
    <xdr:from>
      <xdr:col>0</xdr:col>
      <xdr:colOff>304799</xdr:colOff>
      <xdr:row>2</xdr:row>
      <xdr:rowOff>20145</xdr:rowOff>
    </xdr:from>
    <xdr:to>
      <xdr:col>1</xdr:col>
      <xdr:colOff>438449</xdr:colOff>
      <xdr:row>27</xdr:row>
      <xdr:rowOff>111145</xdr:rowOff>
    </xdr:to>
    <mc:AlternateContent xmlns:mc="http://schemas.openxmlformats.org/markup-compatibility/2006" xmlns:a14="http://schemas.microsoft.com/office/drawing/2010/main">
      <mc:Choice Requires="a14">
        <xdr:graphicFrame macro="">
          <xdr:nvGraphicFramePr>
            <xdr:cNvPr id="16" name="الشهور 2">
              <a:extLst>
                <a:ext uri="{FF2B5EF4-FFF2-40B4-BE49-F238E27FC236}">
                  <a16:creationId xmlns:a16="http://schemas.microsoft.com/office/drawing/2014/main" id="{118FD405-5D66-4FAE-837C-F252F6A5DFA2}"/>
                </a:ext>
              </a:extLst>
            </xdr:cNvPr>
            <xdr:cNvGraphicFramePr/>
          </xdr:nvGraphicFramePr>
          <xdr:xfrm>
            <a:off x="0" y="0"/>
            <a:ext cx="0" cy="0"/>
          </xdr:xfrm>
          <a:graphic>
            <a:graphicData uri="http://schemas.microsoft.com/office/drawing/2010/slicer">
              <sle:slicer xmlns:sle="http://schemas.microsoft.com/office/drawing/2010/slicer" name="الشهور 2"/>
            </a:graphicData>
          </a:graphic>
        </xdr:graphicFrame>
      </mc:Choice>
      <mc:Fallback xmlns="">
        <xdr:sp macro="" textlink="">
          <xdr:nvSpPr>
            <xdr:cNvPr id="0" name=""/>
            <xdr:cNvSpPr>
              <a:spLocks noTextEdit="1"/>
            </xdr:cNvSpPr>
          </xdr:nvSpPr>
          <xdr:spPr>
            <a:xfrm>
              <a:off x="304799" y="375745"/>
              <a:ext cx="819450" cy="4536000"/>
            </a:xfrm>
            <a:prstGeom prst="rect">
              <a:avLst/>
            </a:prstGeom>
            <a:solidFill>
              <a:prstClr val="white"/>
            </a:solidFill>
            <a:ln w="1">
              <a:solidFill>
                <a:prstClr val="green"/>
              </a:solidFill>
            </a:ln>
          </xdr:spPr>
          <xdr:txBody>
            <a:bodyPr vertOverflow="clip" horzOverflow="clip"/>
            <a:lstStyle/>
            <a:p>
              <a:r>
                <a:rPr lang="ar-E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368300</xdr:colOff>
      <xdr:row>0</xdr:row>
      <xdr:rowOff>165100</xdr:rowOff>
    </xdr:from>
    <xdr:to>
      <xdr:col>11</xdr:col>
      <xdr:colOff>558800</xdr:colOff>
      <xdr:row>3</xdr:row>
      <xdr:rowOff>0</xdr:rowOff>
    </xdr:to>
    <xdr:sp macro="" textlink="">
      <xdr:nvSpPr>
        <xdr:cNvPr id="17" name="TextBox 16">
          <a:extLst>
            <a:ext uri="{FF2B5EF4-FFF2-40B4-BE49-F238E27FC236}">
              <a16:creationId xmlns:a16="http://schemas.microsoft.com/office/drawing/2014/main" id="{5C7AB83A-710B-EF16-FD16-82E16A07FB27}"/>
            </a:ext>
          </a:extLst>
        </xdr:cNvPr>
        <xdr:cNvSpPr txBox="1"/>
      </xdr:nvSpPr>
      <xdr:spPr>
        <a:xfrm>
          <a:off x="3797300" y="165100"/>
          <a:ext cx="4305300" cy="36830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r>
            <a:rPr lang="ar-EG" sz="1800" b="1">
              <a:solidFill>
                <a:schemeClr val="tx1"/>
              </a:solidFill>
            </a:rPr>
            <a:t>تحليل</a:t>
          </a:r>
          <a:r>
            <a:rPr lang="ar-EG" sz="1800" b="1" baseline="0">
              <a:solidFill>
                <a:schemeClr val="tx1"/>
              </a:solidFill>
            </a:rPr>
            <a:t>  مسحوبات توكيل المراعى 2025</a:t>
          </a:r>
          <a:endParaRPr lang="ar-EG" sz="1800" b="1">
            <a:solidFill>
              <a:schemeClr val="tx1"/>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66675</xdr:colOff>
      <xdr:row>0</xdr:row>
      <xdr:rowOff>95251</xdr:rowOff>
    </xdr:from>
    <xdr:to>
      <xdr:col>13</xdr:col>
      <xdr:colOff>581025</xdr:colOff>
      <xdr:row>25</xdr:row>
      <xdr:rowOff>169624</xdr:rowOff>
    </xdr:to>
    <xdr:sp macro="" textlink="">
      <xdr:nvSpPr>
        <xdr:cNvPr id="2" name="Rectangle: Rounded Corners 1">
          <a:extLst>
            <a:ext uri="{FF2B5EF4-FFF2-40B4-BE49-F238E27FC236}">
              <a16:creationId xmlns:a16="http://schemas.microsoft.com/office/drawing/2014/main" id="{6BACCE4E-5248-1FBE-2C8A-4BB2EE970AE3}"/>
            </a:ext>
          </a:extLst>
        </xdr:cNvPr>
        <xdr:cNvSpPr/>
      </xdr:nvSpPr>
      <xdr:spPr>
        <a:xfrm>
          <a:off x="66675" y="95251"/>
          <a:ext cx="8486645" cy="4967352"/>
        </a:xfrm>
        <a:prstGeom prst="roundRect">
          <a:avLst>
            <a:gd name="adj" fmla="val 8109"/>
          </a:avLst>
        </a:prstGeom>
        <a:solidFill>
          <a:schemeClr val="tx1">
            <a:lumMod val="85000"/>
            <a:lumOff val="1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0</xdr:col>
      <xdr:colOff>138308</xdr:colOff>
      <xdr:row>2</xdr:row>
      <xdr:rowOff>185151</xdr:rowOff>
    </xdr:from>
    <xdr:to>
      <xdr:col>1</xdr:col>
      <xdr:colOff>109733</xdr:colOff>
      <xdr:row>22</xdr:row>
      <xdr:rowOff>13048</xdr:rowOff>
    </xdr:to>
    <xdr:sp macro="" textlink="">
      <xdr:nvSpPr>
        <xdr:cNvPr id="3" name="Rectangle: Rounded Corners 2">
          <a:extLst>
            <a:ext uri="{FF2B5EF4-FFF2-40B4-BE49-F238E27FC236}">
              <a16:creationId xmlns:a16="http://schemas.microsoft.com/office/drawing/2014/main" id="{7F6D4DDF-AF32-6B97-ADC3-F99FCC002898}"/>
            </a:ext>
          </a:extLst>
        </xdr:cNvPr>
        <xdr:cNvSpPr/>
      </xdr:nvSpPr>
      <xdr:spPr>
        <a:xfrm>
          <a:off x="138308" y="576589"/>
          <a:ext cx="584678" cy="374228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384133</xdr:colOff>
      <xdr:row>0</xdr:row>
      <xdr:rowOff>169623</xdr:rowOff>
    </xdr:from>
    <xdr:to>
      <xdr:col>13</xdr:col>
      <xdr:colOff>450808</xdr:colOff>
      <xdr:row>4</xdr:row>
      <xdr:rowOff>18007</xdr:rowOff>
    </xdr:to>
    <xdr:sp macro="" textlink="">
      <xdr:nvSpPr>
        <xdr:cNvPr id="4" name="Rectangle: Rounded Corners 3">
          <a:extLst>
            <a:ext uri="{FF2B5EF4-FFF2-40B4-BE49-F238E27FC236}">
              <a16:creationId xmlns:a16="http://schemas.microsoft.com/office/drawing/2014/main" id="{028CBF0D-05E9-4728-80F0-BCDA6E2AFF8D}"/>
            </a:ext>
          </a:extLst>
        </xdr:cNvPr>
        <xdr:cNvSpPr/>
      </xdr:nvSpPr>
      <xdr:spPr>
        <a:xfrm>
          <a:off x="997386" y="169623"/>
          <a:ext cx="7425717" cy="631261"/>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ctr"/>
          <a:r>
            <a:rPr lang="ar-EG" sz="2000" b="1">
              <a:solidFill>
                <a:schemeClr val="bg1"/>
              </a:solidFill>
            </a:rPr>
            <a:t>تحليل</a:t>
          </a:r>
          <a:r>
            <a:rPr lang="ar-EG" sz="2000" b="1" baseline="0">
              <a:solidFill>
                <a:schemeClr val="bg1"/>
              </a:solidFill>
            </a:rPr>
            <a:t> توكيل المراعى مسحوبات اصناف عام 2025</a:t>
          </a:r>
          <a:endParaRPr lang="ar-EG" sz="2000" b="1">
            <a:solidFill>
              <a:schemeClr val="bg1"/>
            </a:solidFill>
          </a:endParaRPr>
        </a:p>
      </xdr:txBody>
    </xdr:sp>
    <xdr:clientData/>
  </xdr:twoCellAnchor>
  <xdr:twoCellAnchor>
    <xdr:from>
      <xdr:col>1</xdr:col>
      <xdr:colOff>190500</xdr:colOff>
      <xdr:row>4</xdr:row>
      <xdr:rowOff>85726</xdr:rowOff>
    </xdr:from>
    <xdr:to>
      <xdr:col>13</xdr:col>
      <xdr:colOff>587157</xdr:colOff>
      <xdr:row>25</xdr:row>
      <xdr:rowOff>156576</xdr:rowOff>
    </xdr:to>
    <xdr:sp macro="" textlink="">
      <xdr:nvSpPr>
        <xdr:cNvPr id="5" name="Rectangle: Rounded Corners 4">
          <a:extLst>
            <a:ext uri="{FF2B5EF4-FFF2-40B4-BE49-F238E27FC236}">
              <a16:creationId xmlns:a16="http://schemas.microsoft.com/office/drawing/2014/main" id="{5A8BA941-3887-460D-B5BE-C7C90548FC03}"/>
            </a:ext>
          </a:extLst>
        </xdr:cNvPr>
        <xdr:cNvSpPr/>
      </xdr:nvSpPr>
      <xdr:spPr>
        <a:xfrm>
          <a:off x="803753" y="868603"/>
          <a:ext cx="7755699" cy="4180952"/>
        </a:xfrm>
        <a:prstGeom prst="roundRect">
          <a:avLst/>
        </a:prstGeom>
        <a:solidFill>
          <a:schemeClr val="tx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1" anchor="t"/>
        <a:lstStyle/>
        <a:p>
          <a:pPr algn="l"/>
          <a:endParaRPr lang="ar-EG" sz="1100"/>
        </a:p>
      </xdr:txBody>
    </xdr:sp>
    <xdr:clientData/>
  </xdr:twoCellAnchor>
  <xdr:twoCellAnchor>
    <xdr:from>
      <xdr:col>1</xdr:col>
      <xdr:colOff>427582</xdr:colOff>
      <xdr:row>8</xdr:row>
      <xdr:rowOff>106211</xdr:rowOff>
    </xdr:from>
    <xdr:to>
      <xdr:col>6</xdr:col>
      <xdr:colOff>494256</xdr:colOff>
      <xdr:row>17</xdr:row>
      <xdr:rowOff>30011</xdr:rowOff>
    </xdr:to>
    <xdr:graphicFrame macro="">
      <xdr:nvGraphicFramePr>
        <xdr:cNvPr id="6" name="Chart 5">
          <a:extLst>
            <a:ext uri="{FF2B5EF4-FFF2-40B4-BE49-F238E27FC236}">
              <a16:creationId xmlns:a16="http://schemas.microsoft.com/office/drawing/2014/main" id="{C2755238-5BD2-4BE9-B041-2A9DD67AB4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378913</xdr:colOff>
      <xdr:row>16</xdr:row>
      <xdr:rowOff>142483</xdr:rowOff>
    </xdr:from>
    <xdr:to>
      <xdr:col>5</xdr:col>
      <xdr:colOff>531312</xdr:colOff>
      <xdr:row>24</xdr:row>
      <xdr:rowOff>142484</xdr:rowOff>
    </xdr:to>
    <xdr:graphicFrame macro="">
      <xdr:nvGraphicFramePr>
        <xdr:cNvPr id="7" name="Chart 6">
          <a:extLst>
            <a:ext uri="{FF2B5EF4-FFF2-40B4-BE49-F238E27FC236}">
              <a16:creationId xmlns:a16="http://schemas.microsoft.com/office/drawing/2014/main" id="{A3DC5A13-1B97-47B7-958D-95DCD3E0D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554930</xdr:colOff>
      <xdr:row>8</xdr:row>
      <xdr:rowOff>38493</xdr:rowOff>
    </xdr:from>
    <xdr:to>
      <xdr:col>9</xdr:col>
      <xdr:colOff>554929</xdr:colOff>
      <xdr:row>25</xdr:row>
      <xdr:rowOff>9918</xdr:rowOff>
    </xdr:to>
    <xdr:graphicFrame macro="">
      <xdr:nvGraphicFramePr>
        <xdr:cNvPr id="8" name="Chart 7">
          <a:extLst>
            <a:ext uri="{FF2B5EF4-FFF2-40B4-BE49-F238E27FC236}">
              <a16:creationId xmlns:a16="http://schemas.microsoft.com/office/drawing/2014/main" id="{529D029A-921F-428B-924D-07E3F9E823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251173</xdr:colOff>
      <xdr:row>8</xdr:row>
      <xdr:rowOff>113257</xdr:rowOff>
    </xdr:from>
    <xdr:to>
      <xdr:col>13</xdr:col>
      <xdr:colOff>584549</xdr:colOff>
      <xdr:row>25</xdr:row>
      <xdr:rowOff>84682</xdr:rowOff>
    </xdr:to>
    <xdr:graphicFrame macro="">
      <xdr:nvGraphicFramePr>
        <xdr:cNvPr id="9" name="Chart 8">
          <a:extLst>
            <a:ext uri="{FF2B5EF4-FFF2-40B4-BE49-F238E27FC236}">
              <a16:creationId xmlns:a16="http://schemas.microsoft.com/office/drawing/2014/main" id="{4BB38680-0A12-4856-A94D-E251D7AC4C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95250</xdr:colOff>
      <xdr:row>3</xdr:row>
      <xdr:rowOff>106862</xdr:rowOff>
    </xdr:from>
    <xdr:to>
      <xdr:col>1</xdr:col>
      <xdr:colOff>219075</xdr:colOff>
      <xdr:row>24</xdr:row>
      <xdr:rowOff>15919</xdr:rowOff>
    </xdr:to>
    <mc:AlternateContent xmlns:mc="http://schemas.openxmlformats.org/markup-compatibility/2006" xmlns:a14="http://schemas.microsoft.com/office/drawing/2010/main">
      <mc:Choice Requires="a14">
        <xdr:graphicFrame macro="">
          <xdr:nvGraphicFramePr>
            <xdr:cNvPr id="13" name="الشهور 1">
              <a:extLst>
                <a:ext uri="{FF2B5EF4-FFF2-40B4-BE49-F238E27FC236}">
                  <a16:creationId xmlns:a16="http://schemas.microsoft.com/office/drawing/2014/main" id="{B03390A3-057C-45A2-99FB-917238ABFF6A}"/>
                </a:ext>
              </a:extLst>
            </xdr:cNvPr>
            <xdr:cNvGraphicFramePr/>
          </xdr:nvGraphicFramePr>
          <xdr:xfrm>
            <a:off x="0" y="0"/>
            <a:ext cx="0" cy="0"/>
          </xdr:xfrm>
          <a:graphic>
            <a:graphicData uri="http://schemas.microsoft.com/office/drawing/2010/slicer">
              <sle:slicer xmlns:sle="http://schemas.microsoft.com/office/drawing/2010/slicer" name="الشهور 1"/>
            </a:graphicData>
          </a:graphic>
        </xdr:graphicFrame>
      </mc:Choice>
      <mc:Fallback xmlns="">
        <xdr:sp macro="" textlink="">
          <xdr:nvSpPr>
            <xdr:cNvPr id="0" name=""/>
            <xdr:cNvSpPr>
              <a:spLocks noTextEdit="1"/>
            </xdr:cNvSpPr>
          </xdr:nvSpPr>
          <xdr:spPr>
            <a:xfrm>
              <a:off x="95250" y="694020"/>
              <a:ext cx="737078" cy="40191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365473</xdr:colOff>
      <xdr:row>4</xdr:row>
      <xdr:rowOff>88204</xdr:rowOff>
    </xdr:from>
    <xdr:to>
      <xdr:col>13</xdr:col>
      <xdr:colOff>98773</xdr:colOff>
      <xdr:row>5</xdr:row>
      <xdr:rowOff>179148</xdr:rowOff>
    </xdr:to>
    <xdr:sp macro="" textlink="">
      <xdr:nvSpPr>
        <xdr:cNvPr id="20" name="TextBox 19">
          <a:extLst>
            <a:ext uri="{FF2B5EF4-FFF2-40B4-BE49-F238E27FC236}">
              <a16:creationId xmlns:a16="http://schemas.microsoft.com/office/drawing/2014/main" id="{8D21C676-2F1A-432B-A4E2-04845E65C22F}"/>
            </a:ext>
          </a:extLst>
        </xdr:cNvPr>
        <xdr:cNvSpPr txBox="1"/>
      </xdr:nvSpPr>
      <xdr:spPr>
        <a:xfrm>
          <a:off x="6498007" y="871081"/>
          <a:ext cx="1573061" cy="286663"/>
        </a:xfrm>
        <a:prstGeom prst="rect">
          <a:avLst/>
        </a:prstGeom>
        <a:solidFill>
          <a:schemeClr val="tx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ctr"/>
          <a:r>
            <a:rPr lang="ar-EG" sz="1200" b="1">
              <a:solidFill>
                <a:schemeClr val="bg1"/>
              </a:solidFill>
            </a:rPr>
            <a:t>مسحوبات الزبادى</a:t>
          </a:r>
        </a:p>
      </xdr:txBody>
    </xdr:sp>
    <xdr:clientData/>
  </xdr:twoCellAnchor>
  <xdr:twoCellAnchor>
    <xdr:from>
      <xdr:col>10</xdr:col>
      <xdr:colOff>313280</xdr:colOff>
      <xdr:row>6</xdr:row>
      <xdr:rowOff>95249</xdr:rowOff>
    </xdr:from>
    <xdr:to>
      <xdr:col>13</xdr:col>
      <xdr:colOff>75155</xdr:colOff>
      <xdr:row>8</xdr:row>
      <xdr:rowOff>9525</xdr:rowOff>
    </xdr:to>
    <xdr:sp macro="" textlink="'Pivot Table'!A25">
      <xdr:nvSpPr>
        <xdr:cNvPr id="21" name="TextBox 20">
          <a:extLst>
            <a:ext uri="{FF2B5EF4-FFF2-40B4-BE49-F238E27FC236}">
              <a16:creationId xmlns:a16="http://schemas.microsoft.com/office/drawing/2014/main" id="{77788C16-8D66-4400-9966-98EDF5F8E112}"/>
            </a:ext>
          </a:extLst>
        </xdr:cNvPr>
        <xdr:cNvSpPr txBox="1"/>
      </xdr:nvSpPr>
      <xdr:spPr>
        <a:xfrm rot="10800000" flipH="1" flipV="1">
          <a:off x="6445814" y="1269564"/>
          <a:ext cx="1601636" cy="305714"/>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ctr"/>
          <a:fld id="{8BE7F5CB-4550-4CF8-B6E6-FD486D222496}" type="TxLink">
            <a:rPr lang="en-US" sz="1600" b="1" i="0" u="none" strike="noStrike">
              <a:solidFill>
                <a:srgbClr val="000000"/>
              </a:solidFill>
              <a:latin typeface="Arial"/>
              <a:cs typeface="Arial"/>
            </a:rPr>
            <a:pPr algn="ctr"/>
            <a:t>33,616,540 </a:t>
          </a:fld>
          <a:endParaRPr lang="ar-EG" sz="1500" b="1"/>
        </a:p>
      </xdr:txBody>
    </xdr:sp>
    <xdr:clientData/>
  </xdr:twoCellAnchor>
  <xdr:twoCellAnchor>
    <xdr:from>
      <xdr:col>7</xdr:col>
      <xdr:colOff>432148</xdr:colOff>
      <xdr:row>4</xdr:row>
      <xdr:rowOff>108298</xdr:rowOff>
    </xdr:from>
    <xdr:to>
      <xdr:col>10</xdr:col>
      <xdr:colOff>317848</xdr:colOff>
      <xdr:row>6</xdr:row>
      <xdr:rowOff>13048</xdr:rowOff>
    </xdr:to>
    <xdr:sp macro="" textlink="">
      <xdr:nvSpPr>
        <xdr:cNvPr id="22" name="TextBox 21">
          <a:extLst>
            <a:ext uri="{FF2B5EF4-FFF2-40B4-BE49-F238E27FC236}">
              <a16:creationId xmlns:a16="http://schemas.microsoft.com/office/drawing/2014/main" id="{B8F6B22B-31BD-4DFB-A279-F06BE1E137DF}"/>
            </a:ext>
          </a:extLst>
        </xdr:cNvPr>
        <xdr:cNvSpPr txBox="1"/>
      </xdr:nvSpPr>
      <xdr:spPr>
        <a:xfrm>
          <a:off x="4724922" y="891175"/>
          <a:ext cx="1725460" cy="296188"/>
        </a:xfrm>
        <a:prstGeom prst="rect">
          <a:avLst/>
        </a:prstGeom>
        <a:solidFill>
          <a:schemeClr val="tx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l"/>
          <a:r>
            <a:rPr lang="ar-EG" sz="1200" b="1">
              <a:solidFill>
                <a:schemeClr val="bg1"/>
              </a:solidFill>
            </a:rPr>
            <a:t>مسحوبات العصير</a:t>
          </a:r>
        </a:p>
      </xdr:txBody>
    </xdr:sp>
    <xdr:clientData/>
  </xdr:twoCellAnchor>
  <xdr:twoCellAnchor>
    <xdr:from>
      <xdr:col>7</xdr:col>
      <xdr:colOff>435671</xdr:colOff>
      <xdr:row>6</xdr:row>
      <xdr:rowOff>98772</xdr:rowOff>
    </xdr:from>
    <xdr:to>
      <xdr:col>10</xdr:col>
      <xdr:colOff>330896</xdr:colOff>
      <xdr:row>7</xdr:row>
      <xdr:rowOff>194023</xdr:rowOff>
    </xdr:to>
    <xdr:sp macro="" textlink="'Pivot Table'!A34">
      <xdr:nvSpPr>
        <xdr:cNvPr id="23" name="TextBox 22">
          <a:extLst>
            <a:ext uri="{FF2B5EF4-FFF2-40B4-BE49-F238E27FC236}">
              <a16:creationId xmlns:a16="http://schemas.microsoft.com/office/drawing/2014/main" id="{948CD776-ED78-47E4-8916-54D65545E969}"/>
            </a:ext>
          </a:extLst>
        </xdr:cNvPr>
        <xdr:cNvSpPr txBox="1"/>
      </xdr:nvSpPr>
      <xdr:spPr>
        <a:xfrm rot="10800000" flipH="1" flipV="1">
          <a:off x="4728445" y="1273087"/>
          <a:ext cx="1734985" cy="29097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7DEE4C31-60F3-426C-BBF5-3D2D79773B78}" type="TxLink">
            <a:rPr lang="en-US" sz="1600" b="1" i="0" u="none" strike="noStrike">
              <a:solidFill>
                <a:srgbClr val="000000"/>
              </a:solidFill>
              <a:latin typeface="Arial"/>
              <a:cs typeface="Arial"/>
            </a:rPr>
            <a:pPr algn="l"/>
            <a:t>3,748,445 </a:t>
          </a:fld>
          <a:endParaRPr lang="ar-EG" sz="1500" b="1"/>
        </a:p>
      </xdr:txBody>
    </xdr:sp>
    <xdr:clientData/>
  </xdr:twoCellAnchor>
  <xdr:twoCellAnchor>
    <xdr:from>
      <xdr:col>4</xdr:col>
      <xdr:colOff>600075</xdr:colOff>
      <xdr:row>4</xdr:row>
      <xdr:rowOff>101252</xdr:rowOff>
    </xdr:from>
    <xdr:to>
      <xdr:col>7</xdr:col>
      <xdr:colOff>390525</xdr:colOff>
      <xdr:row>5</xdr:row>
      <xdr:rowOff>158402</xdr:rowOff>
    </xdr:to>
    <xdr:sp macro="" textlink="">
      <xdr:nvSpPr>
        <xdr:cNvPr id="24" name="TextBox 23">
          <a:extLst>
            <a:ext uri="{FF2B5EF4-FFF2-40B4-BE49-F238E27FC236}">
              <a16:creationId xmlns:a16="http://schemas.microsoft.com/office/drawing/2014/main" id="{195D9016-DE3B-4EE2-A8BD-4A02A02836DE}"/>
            </a:ext>
          </a:extLst>
        </xdr:cNvPr>
        <xdr:cNvSpPr txBox="1"/>
      </xdr:nvSpPr>
      <xdr:spPr>
        <a:xfrm>
          <a:off x="3053089" y="884129"/>
          <a:ext cx="1630210" cy="252869"/>
        </a:xfrm>
        <a:prstGeom prst="rect">
          <a:avLst/>
        </a:prstGeom>
        <a:solidFill>
          <a:schemeClr val="tx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l"/>
          <a:r>
            <a:rPr lang="ar-EG" sz="1200" b="1">
              <a:solidFill>
                <a:schemeClr val="bg1"/>
              </a:solidFill>
            </a:rPr>
            <a:t>مسحوبات</a:t>
          </a:r>
          <a:r>
            <a:rPr lang="ar-EG" sz="1200" b="1" baseline="0">
              <a:solidFill>
                <a:schemeClr val="bg1"/>
              </a:solidFill>
            </a:rPr>
            <a:t> الجبنة</a:t>
          </a:r>
          <a:endParaRPr lang="ar-EG" sz="1200" b="1">
            <a:solidFill>
              <a:schemeClr val="bg1"/>
            </a:solidFill>
          </a:endParaRPr>
        </a:p>
      </xdr:txBody>
    </xdr:sp>
    <xdr:clientData/>
  </xdr:twoCellAnchor>
  <xdr:twoCellAnchor>
    <xdr:from>
      <xdr:col>4</xdr:col>
      <xdr:colOff>609599</xdr:colOff>
      <xdr:row>6</xdr:row>
      <xdr:rowOff>30009</xdr:rowOff>
    </xdr:from>
    <xdr:to>
      <xdr:col>7</xdr:col>
      <xdr:colOff>380999</xdr:colOff>
      <xdr:row>7</xdr:row>
      <xdr:rowOff>130480</xdr:rowOff>
    </xdr:to>
    <xdr:sp macro="" textlink="'Pivot Table'!A48">
      <xdr:nvSpPr>
        <xdr:cNvPr id="25" name="TextBox 24">
          <a:extLst>
            <a:ext uri="{FF2B5EF4-FFF2-40B4-BE49-F238E27FC236}">
              <a16:creationId xmlns:a16="http://schemas.microsoft.com/office/drawing/2014/main" id="{2F8FBD41-888B-44FE-B19D-DE0AF88DAC39}"/>
            </a:ext>
          </a:extLst>
        </xdr:cNvPr>
        <xdr:cNvSpPr txBox="1"/>
      </xdr:nvSpPr>
      <xdr:spPr>
        <a:xfrm rot="10800000" flipH="1" flipV="1">
          <a:off x="3062613" y="1204324"/>
          <a:ext cx="1611160" cy="29619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F9A5A39F-5FCC-42AD-A130-B9E6F8C72FA3}" type="TxLink">
            <a:rPr lang="en-US" sz="1600" b="1" i="0" u="none" strike="noStrike">
              <a:solidFill>
                <a:srgbClr val="000000"/>
              </a:solidFill>
              <a:latin typeface="Arial"/>
              <a:cs typeface="Arial"/>
            </a:rPr>
            <a:pPr algn="l"/>
            <a:t>2,186,763 </a:t>
          </a:fld>
          <a:endParaRPr lang="ar-EG" sz="1500" b="1"/>
        </a:p>
      </xdr:txBody>
    </xdr:sp>
    <xdr:clientData/>
  </xdr:twoCellAnchor>
  <xdr:twoCellAnchor>
    <xdr:from>
      <xdr:col>1</xdr:col>
      <xdr:colOff>609599</xdr:colOff>
      <xdr:row>4</xdr:row>
      <xdr:rowOff>114300</xdr:rowOff>
    </xdr:from>
    <xdr:to>
      <xdr:col>4</xdr:col>
      <xdr:colOff>590549</xdr:colOff>
      <xdr:row>5</xdr:row>
      <xdr:rowOff>171450</xdr:rowOff>
    </xdr:to>
    <xdr:sp macro="" textlink="">
      <xdr:nvSpPr>
        <xdr:cNvPr id="26" name="TextBox 25">
          <a:extLst>
            <a:ext uri="{FF2B5EF4-FFF2-40B4-BE49-F238E27FC236}">
              <a16:creationId xmlns:a16="http://schemas.microsoft.com/office/drawing/2014/main" id="{5CCDC6FB-E7A4-42B4-A5DB-1F42D76B1F00}"/>
            </a:ext>
          </a:extLst>
        </xdr:cNvPr>
        <xdr:cNvSpPr txBox="1"/>
      </xdr:nvSpPr>
      <xdr:spPr>
        <a:xfrm>
          <a:off x="1222852" y="897177"/>
          <a:ext cx="1820711" cy="252869"/>
        </a:xfrm>
        <a:prstGeom prst="rect">
          <a:avLst/>
        </a:prstGeom>
        <a:solidFill>
          <a:schemeClr val="tx1"/>
        </a:solidFill>
        <a:ln w="9525" cmpd="sng">
          <a:solidFill>
            <a:schemeClr val="bg1"/>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pPr algn="l"/>
          <a:r>
            <a:rPr lang="ar-EG" sz="1200" b="1">
              <a:solidFill>
                <a:schemeClr val="bg1"/>
              </a:solidFill>
            </a:rPr>
            <a:t>مسحوبات</a:t>
          </a:r>
          <a:r>
            <a:rPr lang="ar-EG" sz="1200" b="1" baseline="0">
              <a:solidFill>
                <a:schemeClr val="bg1"/>
              </a:solidFill>
            </a:rPr>
            <a:t> الالبان</a:t>
          </a:r>
          <a:endParaRPr lang="ar-EG" sz="1200" b="1">
            <a:solidFill>
              <a:schemeClr val="bg1"/>
            </a:solidFill>
          </a:endParaRPr>
        </a:p>
      </xdr:txBody>
    </xdr:sp>
    <xdr:clientData/>
  </xdr:twoCellAnchor>
  <xdr:twoCellAnchor>
    <xdr:from>
      <xdr:col>1</xdr:col>
      <xdr:colOff>521919</xdr:colOff>
      <xdr:row>6</xdr:row>
      <xdr:rowOff>69153</xdr:rowOff>
    </xdr:from>
    <xdr:to>
      <xdr:col>4</xdr:col>
      <xdr:colOff>489690</xdr:colOff>
      <xdr:row>7</xdr:row>
      <xdr:rowOff>169624</xdr:rowOff>
    </xdr:to>
    <xdr:sp macro="" textlink="'Pivot Table'!A41">
      <xdr:nvSpPr>
        <xdr:cNvPr id="27" name="TextBox 26">
          <a:extLst>
            <a:ext uri="{FF2B5EF4-FFF2-40B4-BE49-F238E27FC236}">
              <a16:creationId xmlns:a16="http://schemas.microsoft.com/office/drawing/2014/main" id="{1293508A-8E18-4CF9-A436-1B23C839FDE9}"/>
            </a:ext>
          </a:extLst>
        </xdr:cNvPr>
        <xdr:cNvSpPr txBox="1"/>
      </xdr:nvSpPr>
      <xdr:spPr>
        <a:xfrm rot="10800000" flipH="1" flipV="1">
          <a:off x="1135172" y="1243468"/>
          <a:ext cx="1807532" cy="296190"/>
        </a:xfrm>
        <a:prstGeom prst="rect">
          <a:avLst/>
        </a:prstGeom>
        <a:solidFill>
          <a:schemeClr val="accent2"/>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ctr"/>
        <a:lstStyle/>
        <a:p>
          <a:pPr algn="l"/>
          <a:fld id="{164BDEBF-58DD-496F-B59C-DDEBF8E72C78}" type="TxLink">
            <a:rPr lang="en-US" sz="1600" b="1" i="0" u="none" strike="noStrike">
              <a:solidFill>
                <a:srgbClr val="000000"/>
              </a:solidFill>
              <a:latin typeface="Arial"/>
              <a:cs typeface="Arial"/>
            </a:rPr>
            <a:pPr algn="l"/>
            <a:t>363,489 </a:t>
          </a:fld>
          <a:endParaRPr lang="ar-EG" sz="1500" b="1"/>
        </a:p>
      </xdr:txBody>
    </xdr:sp>
    <xdr:clientData/>
  </xdr:twoCellAnchor>
  <xdr:twoCellAnchor editAs="oneCell">
    <xdr:from>
      <xdr:col>13</xdr:col>
      <xdr:colOff>108298</xdr:colOff>
      <xdr:row>4</xdr:row>
      <xdr:rowOff>116778</xdr:rowOff>
    </xdr:from>
    <xdr:to>
      <xdr:col>13</xdr:col>
      <xdr:colOff>594073</xdr:colOff>
      <xdr:row>8</xdr:row>
      <xdr:rowOff>40580</xdr:rowOff>
    </xdr:to>
    <xdr:pic>
      <xdr:nvPicPr>
        <xdr:cNvPr id="10" name="Picture 9">
          <a:extLst>
            <a:ext uri="{FF2B5EF4-FFF2-40B4-BE49-F238E27FC236}">
              <a16:creationId xmlns:a16="http://schemas.microsoft.com/office/drawing/2014/main" id="{90898B48-88B4-3788-D2D9-020D43E47F9C}"/>
            </a:ext>
          </a:extLst>
        </xdr:cNvPr>
        <xdr:cNvPicPr>
          <a:picLocks noChangeAspect="1"/>
        </xdr:cNvPicPr>
      </xdr:nvPicPr>
      <xdr:blipFill>
        <a:blip xmlns:r="http://schemas.openxmlformats.org/officeDocument/2006/relationships" r:embed="rId5"/>
        <a:stretch>
          <a:fillRect/>
        </a:stretch>
      </xdr:blipFill>
      <xdr:spPr>
        <a:xfrm>
          <a:off x="8080593" y="899655"/>
          <a:ext cx="485775" cy="706678"/>
        </a:xfrm>
        <a:prstGeom prst="rect">
          <a:avLst/>
        </a:prstGeom>
      </xdr:spPr>
    </xdr:pic>
    <xdr:clientData/>
  </xdr:twoCellAnchor>
  <xdr:twoCellAnchor editAs="oneCell">
    <xdr:from>
      <xdr:col>9</xdr:col>
      <xdr:colOff>460723</xdr:colOff>
      <xdr:row>4</xdr:row>
      <xdr:rowOff>117823</xdr:rowOff>
    </xdr:from>
    <xdr:to>
      <xdr:col>10</xdr:col>
      <xdr:colOff>279749</xdr:colOff>
      <xdr:row>8</xdr:row>
      <xdr:rowOff>22574</xdr:rowOff>
    </xdr:to>
    <xdr:pic>
      <xdr:nvPicPr>
        <xdr:cNvPr id="11" name="Picture 10">
          <a:extLst>
            <a:ext uri="{FF2B5EF4-FFF2-40B4-BE49-F238E27FC236}">
              <a16:creationId xmlns:a16="http://schemas.microsoft.com/office/drawing/2014/main" id="{D8BDAF17-AAA6-879B-35FE-71A586AACA89}"/>
            </a:ext>
          </a:extLst>
        </xdr:cNvPr>
        <xdr:cNvPicPr>
          <a:picLocks noChangeAspect="1"/>
        </xdr:cNvPicPr>
      </xdr:nvPicPr>
      <xdr:blipFill>
        <a:blip xmlns:r="http://schemas.openxmlformats.org/officeDocument/2006/relationships" r:embed="rId6"/>
        <a:stretch>
          <a:fillRect/>
        </a:stretch>
      </xdr:blipFill>
      <xdr:spPr>
        <a:xfrm>
          <a:off x="5980004" y="900700"/>
          <a:ext cx="432279" cy="687627"/>
        </a:xfrm>
        <a:prstGeom prst="rect">
          <a:avLst/>
        </a:prstGeom>
      </xdr:spPr>
    </xdr:pic>
    <xdr:clientData/>
  </xdr:twoCellAnchor>
  <xdr:twoCellAnchor editAs="oneCell">
    <xdr:from>
      <xdr:col>4</xdr:col>
      <xdr:colOff>100860</xdr:colOff>
      <xdr:row>4</xdr:row>
      <xdr:rowOff>130871</xdr:rowOff>
    </xdr:from>
    <xdr:to>
      <xdr:col>4</xdr:col>
      <xdr:colOff>596160</xdr:colOff>
      <xdr:row>8</xdr:row>
      <xdr:rowOff>1829</xdr:rowOff>
    </xdr:to>
    <xdr:pic>
      <xdr:nvPicPr>
        <xdr:cNvPr id="12" name="Picture 11">
          <a:extLst>
            <a:ext uri="{FF2B5EF4-FFF2-40B4-BE49-F238E27FC236}">
              <a16:creationId xmlns:a16="http://schemas.microsoft.com/office/drawing/2014/main" id="{3C0D8F24-8207-1BA8-CBF2-80BDC85CC104}"/>
            </a:ext>
          </a:extLst>
        </xdr:cNvPr>
        <xdr:cNvPicPr>
          <a:picLocks noChangeAspect="1"/>
        </xdr:cNvPicPr>
      </xdr:nvPicPr>
      <xdr:blipFill>
        <a:blip xmlns:r="http://schemas.openxmlformats.org/officeDocument/2006/relationships" r:embed="rId7"/>
        <a:stretch>
          <a:fillRect/>
        </a:stretch>
      </xdr:blipFill>
      <xdr:spPr>
        <a:xfrm>
          <a:off x="2553874" y="913748"/>
          <a:ext cx="495300" cy="653834"/>
        </a:xfrm>
        <a:prstGeom prst="rect">
          <a:avLst/>
        </a:prstGeom>
      </xdr:spPr>
    </xdr:pic>
    <xdr:clientData/>
  </xdr:twoCellAnchor>
  <xdr:twoCellAnchor editAs="oneCell">
    <xdr:from>
      <xdr:col>6</xdr:col>
      <xdr:colOff>485775</xdr:colOff>
      <xdr:row>4</xdr:row>
      <xdr:rowOff>110777</xdr:rowOff>
    </xdr:from>
    <xdr:to>
      <xdr:col>7</xdr:col>
      <xdr:colOff>380202</xdr:colOff>
      <xdr:row>7</xdr:row>
      <xdr:rowOff>192197</xdr:rowOff>
    </xdr:to>
    <xdr:pic>
      <xdr:nvPicPr>
        <xdr:cNvPr id="14" name="Picture 13">
          <a:extLst>
            <a:ext uri="{FF2B5EF4-FFF2-40B4-BE49-F238E27FC236}">
              <a16:creationId xmlns:a16="http://schemas.microsoft.com/office/drawing/2014/main" id="{E8E11B17-45B8-1930-A219-7E3A7613D9E5}"/>
            </a:ext>
          </a:extLst>
        </xdr:cNvPr>
        <xdr:cNvPicPr>
          <a:picLocks noChangeAspect="1"/>
        </xdr:cNvPicPr>
      </xdr:nvPicPr>
      <xdr:blipFill>
        <a:blip xmlns:r="http://schemas.openxmlformats.org/officeDocument/2006/relationships" r:embed="rId8"/>
        <a:stretch>
          <a:fillRect/>
        </a:stretch>
      </xdr:blipFill>
      <xdr:spPr>
        <a:xfrm>
          <a:off x="4165296" y="893654"/>
          <a:ext cx="507680" cy="668577"/>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38.591810648148" backgroundQuery="1" createdVersion="8" refreshedVersion="8" minRefreshableVersion="3" recordCount="0" supportSubquery="1" supportAdvancedDrill="1" xr:uid="{3A5E73D6-F547-439F-8146-9D6438B5C3B7}">
  <cacheSource type="external" connectionId="3"/>
  <cacheFields count="2">
    <cacheField name="[Measures].[Distinct Count of رقم الطلبية]" caption="Distinct Count of رقم الطلبية" numFmtId="0" hierarchy="23" level="32767"/>
    <cacheField name="[Sales].[الشهور].[الشهور]" caption="الشهور" numFmtId="0" hierarchy="15" level="1">
      <sharedItems containsSemiMixedTypes="0" containsNonDate="0" containsString="0"/>
    </cacheField>
  </cacheFields>
  <cacheHierarchies count="30">
    <cacheHierarchy uniqueName="[Sales].[م]" caption="م" attribute="1" defaultMemberUniqueName="[Sales].[م].[All]" allUniqueName="[Sales].[م].[All]" dimensionUniqueName="[Sales]" displayFolder="" count="0" memberValueDatatype="20" unbalanced="0"/>
    <cacheHierarchy uniqueName="[Sales].[التاريخ]" caption="التاريخ" attribute="1" time="1" defaultMemberUniqueName="[Sales].[التاريخ].[All]" allUniqueName="[Sales].[التاريخ].[All]" dimensionUniqueName="[Sales]" displayFolder="" count="0" memberValueDatatype="7" unbalanced="0"/>
    <cacheHierarchy uniqueName="[Sales].[اسم الصنف]" caption="اسم الصنف" attribute="1" defaultMemberUniqueName="[Sales].[اسم الصنف].[All]" allUniqueName="[Sales].[اسم الصنف].[All]" dimensionUniqueName="[Sales]" displayFolder="" count="0" memberValueDatatype="130" unbalanced="0"/>
    <cacheHierarchy uniqueName="[Sales].[سعر الشركة]" caption="سعر الشركة" attribute="1" defaultMemberUniqueName="[Sales].[سعر الشركة].[All]" allUniqueName="[Sales].[سعر الشركة].[All]" dimensionUniqueName="[Sales]" displayFolder="" count="0" memberValueDatatype="5" unbalanced="0"/>
    <cacheHierarchy uniqueName="[Sales].[الكمية]" caption="الكمية" attribute="1" defaultMemberUniqueName="[Sales].[الكمية].[All]" allUniqueName="[Sales].[الكمية].[All]" dimensionUniqueName="[Sales]" displayFolder="" count="0" memberValueDatatype="5" unbalanced="0"/>
    <cacheHierarchy uniqueName="[Sales].[سعر الشراء]" caption="سعر الشراء" attribute="1" defaultMemberUniqueName="[Sales].[سعر الشراء].[All]" allUniqueName="[Sales].[سعر الشراء].[All]" dimensionUniqueName="[Sales]" displayFolder="" count="0" memberValueDatatype="130" unbalanced="0"/>
    <cacheHierarchy uniqueName="[Sales].[سعر الوحدة]" caption="سعر الوحدة" attribute="1" defaultMemberUniqueName="[Sales].[سعر الوحدة].[All]" allUniqueName="[Sales].[سعر الوحدة].[All]" dimensionUniqueName="[Sales]" displayFolder="" count="0" memberValueDatatype="130" unbalanced="0"/>
    <cacheHierarchy uniqueName="[Sales].[قيمة خصم]" caption="قيمة خصم" attribute="1" defaultMemberUniqueName="[Sales].[قيمة خصم].[All]" allUniqueName="[Sales].[قيمة خصم].[All]" dimensionUniqueName="[Sales]" displayFolder="" count="0" memberValueDatatype="20" unbalanced="0"/>
    <cacheHierarchy uniqueName="[Sales].[السعر الصافى]" caption="السعر الصافى" attribute="1" defaultMemberUniqueName="[Sales].[السعر الصافى].[All]" allUniqueName="[Sales].[السعر الصافى].[All]" dimensionUniqueName="[Sales]" displayFolder="" count="0" memberValueDatatype="5" unbalanced="0"/>
    <cacheHierarchy uniqueName="[Sales].[التصنيف]" caption="التصنيف" attribute="1" defaultMemberUniqueName="[Sales].[التصنيف].[All]" allUniqueName="[Sales].[التصنيف].[All]" dimensionUniqueName="[Sales]" displayFolder="" count="0" memberValueDatatype="130" unbalanced="0"/>
    <cacheHierarchy uniqueName="[Sales].[نسبة العمولة]" caption="نسبة العمولة" attribute="1" defaultMemberUniqueName="[Sales].[نسبة العمولة].[All]" allUniqueName="[Sales].[نسبة العمولة].[All]" dimensionUniqueName="[Sales]" displayFolder="" count="0" memberValueDatatype="5" unbalanced="0"/>
    <cacheHierarchy uniqueName="[Sales].[العمولة]" caption="العمولة" attribute="1" defaultMemberUniqueName="[Sales].[العمولة].[All]" allUniqueName="[Sales].[العمولة].[All]" dimensionUniqueName="[Sales]" displayFolder="" count="0" memberValueDatatype="5" unbalanced="0"/>
    <cacheHierarchy uniqueName="[Sales].[سيارات]" caption="سيارات" attribute="1" defaultMemberUniqueName="[Sales].[سيارات].[All]" allUniqueName="[Sales].[سيارات].[All]" dimensionUniqueName="[Sales]" displayFolder="" count="0" memberValueDatatype="20" unbalanced="0"/>
    <cacheHierarchy uniqueName="[Sales].[حافز]" caption="حافز" attribute="1" defaultMemberUniqueName="[Sales].[حافز].[All]" allUniqueName="[Sales].[حافز].[All]" dimensionUniqueName="[Sales]" displayFolder="" count="0" memberValueDatatype="20" unbalanced="0"/>
    <cacheHierarchy uniqueName="[Sales].[اجمالى العمولة]" caption="اجمالى العمولة" attribute="1" defaultMemberUniqueName="[Sales].[اجمالى العمولة].[All]" allUniqueName="[Sales].[اجمالى العمولة].[All]" dimensionUniqueName="[Sales]" displayFolder="" count="0" memberValueDatatype="5" unbalanced="0"/>
    <cacheHierarchy uniqueName="[Sales].[الشهور]" caption="الشهور" attribute="1" defaultMemberUniqueName="[Sales].[الشهور].[All]" allUniqueName="[Sales].[الشهور].[All]" dimensionUniqueName="[Sales]" displayFolder="" count="2" memberValueDatatype="130" unbalanced="0">
      <fieldsUsage count="2">
        <fieldUsage x="-1"/>
        <fieldUsage x="1"/>
      </fieldsUsage>
    </cacheHierarchy>
    <cacheHierarchy uniqueName="[Sales].[رقم الطلبية]" caption="رقم الطلبية" attribute="1" defaultMemberUniqueName="[Sales].[رقم الطلبية].[All]" allUniqueName="[Sales].[رقم الطلبية].[All]" dimensionUniqueName="[Sales]" displayFolder="" count="0" memberValueDatatype="20" unbalanced="0"/>
    <cacheHierarchy uniqueName="[Target].[الشهور]" caption="الشهور" attribute="1" defaultMemberUniqueName="[Target].[الشهور].[All]" allUniqueName="[Target].[الشهور].[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20" unbalanced="0"/>
    <cacheHierarchy uniqueName="[Measures].[__XL_Count Sales]" caption="__XL_Count Sales" measure="1" displayFolder="" measureGroup="Sale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رقم الطلبية]" caption="Sum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Distinct Count of رقم الطلبية]" caption="Distinct Count of رقم الطلبية" measure="1" displayFolder="" measureGroup="Sales" count="0" oneField="1" hidden="1">
      <fieldsUsage count="1">
        <fieldUsage x="0"/>
      </fieldsUsage>
      <extLst>
        <ext xmlns:x15="http://schemas.microsoft.com/office/spreadsheetml/2010/11/main" uri="{B97F6D7D-B522-45F9-BDA1-12C45D357490}">
          <x15:cacheHierarchy aggregatedColumn="16"/>
        </ext>
      </extLst>
    </cacheHierarchy>
    <cacheHierarchy uniqueName="[Measures].[Sum of سعر الشركة]" caption="Sum of سعر الشركة" measure="1" displayFolder="" measureGroup="Sales" count="0" hidden="1">
      <extLst>
        <ext xmlns:x15="http://schemas.microsoft.com/office/spreadsheetml/2010/11/main" uri="{B97F6D7D-B522-45F9-BDA1-12C45D357490}">
          <x15:cacheHierarchy aggregatedColumn="3"/>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18"/>
        </ext>
      </extLst>
    </cacheHierarchy>
    <cacheHierarchy uniqueName="[Measures].[Count of اسم الصنف]" caption="Count of اسم الصنف" measure="1" displayFolder="" measureGroup="Sales" count="0" hidden="1">
      <extLst>
        <ext xmlns:x15="http://schemas.microsoft.com/office/spreadsheetml/2010/11/main" uri="{B97F6D7D-B522-45F9-BDA1-12C45D357490}">
          <x15:cacheHierarchy aggregatedColumn="2"/>
        </ext>
      </extLst>
    </cacheHierarchy>
    <cacheHierarchy uniqueName="[Measures].[Sum of الكمية]" caption="Sum of الكمية" measure="1" displayFolder="" measureGroup="Sales" count="0" hidden="1">
      <extLst>
        <ext xmlns:x15="http://schemas.microsoft.com/office/spreadsheetml/2010/11/main" uri="{B97F6D7D-B522-45F9-BDA1-12C45D357490}">
          <x15:cacheHierarchy aggregatedColumn="4"/>
        </ext>
      </extLst>
    </cacheHierarchy>
    <cacheHierarchy uniqueName="[Measures].[Count of الشهور]" caption="Count of الشهور" measure="1" displayFolder="" measureGroup="Sales" count="0" hidden="1">
      <extLst>
        <ext xmlns:x15="http://schemas.microsoft.com/office/spreadsheetml/2010/11/main" uri="{B97F6D7D-B522-45F9-BDA1-12C45D357490}">
          <x15:cacheHierarchy aggregatedColumn="15"/>
        </ext>
      </extLst>
    </cacheHierarchy>
    <cacheHierarchy uniqueName="[Measures].[Count of سعر الشراء]" caption="Count of سعر الشراء" measure="1" displayFolder="" measureGroup="Sale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Sales" uniqueName="[Sales]" caption="Sales"/>
    <dimension name="Target" uniqueName="[Target]" caption="Target"/>
  </dimensions>
  <measureGroups count="2">
    <measureGroup name="Sales" caption="Sales"/>
    <measureGroup name="Target" caption="Targe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38.59181111111" backgroundQuery="1" createdVersion="8" refreshedVersion="8" minRefreshableVersion="3" recordCount="0" supportSubquery="1" supportAdvancedDrill="1" xr:uid="{894E7CBB-4F9C-4DD7-A2A2-D778CBAEEBC0}">
  <cacheSource type="external" connectionId="3"/>
  <cacheFields count="4">
    <cacheField name="[Sales].[الشهور].[الشهور]" caption="الشهور" numFmtId="0" hierarchy="15" level="1">
      <sharedItems count="12">
        <s v="أبريل"/>
        <s v="أغسطس"/>
        <s v="أكتوبر"/>
        <s v="ديسمبر"/>
        <s v="سبتمبر"/>
        <s v="فبراير"/>
        <s v="مارس"/>
        <s v="مايو"/>
        <s v="نوفمبر"/>
        <s v="يناير"/>
        <s v="يوليو"/>
        <s v="يونية"/>
      </sharedItems>
    </cacheField>
    <cacheField name="[Measures].[Sum of سعر الشركة]" caption="Sum of سعر الشركة" numFmtId="0" hierarchy="24" level="32767"/>
    <cacheField name="[Sales].[التصنيف].[التصنيف]" caption="التصنيف" numFmtId="0" hierarchy="9" level="1">
      <sharedItems count="4">
        <s v="البان"/>
        <s v="جبنة"/>
        <s v="زبادى"/>
        <s v="عصير"/>
      </sharedItems>
    </cacheField>
    <cacheField name="Unsupported0" numFmtId="0" hierarchy="30" level="32767">
      <extLst>
        <ext xmlns:x14="http://schemas.microsoft.com/office/spreadsheetml/2009/9/main" uri="{63CAB8AC-B538-458d-9737-405883B0398D}">
          <x14:cacheField ignore="1"/>
        </ext>
      </extLst>
    </cacheField>
  </cacheFields>
  <cacheHierarchies count="31">
    <cacheHierarchy uniqueName="[Sales].[م]" caption="م" attribute="1" defaultMemberUniqueName="[Sales].[م].[All]" allUniqueName="[Sales].[م].[All]" dimensionUniqueName="[Sales]" displayFolder="" count="0" memberValueDatatype="20" unbalanced="0"/>
    <cacheHierarchy uniqueName="[Sales].[التاريخ]" caption="التاريخ" attribute="1" time="1" defaultMemberUniqueName="[Sales].[التاريخ].[All]" allUniqueName="[Sales].[التاريخ].[All]" dimensionUniqueName="[Sales]" displayFolder="" count="0" memberValueDatatype="7" unbalanced="0"/>
    <cacheHierarchy uniqueName="[Sales].[اسم الصنف]" caption="اسم الصنف" attribute="1" defaultMemberUniqueName="[Sales].[اسم الصنف].[All]" allUniqueName="[Sales].[اسم الصنف].[All]" dimensionUniqueName="[Sales]" displayFolder="" count="0" memberValueDatatype="130" unbalanced="0"/>
    <cacheHierarchy uniqueName="[Sales].[سعر الشركة]" caption="سعر الشركة" attribute="1" defaultMemberUniqueName="[Sales].[سعر الشركة].[All]" allUniqueName="[Sales].[سعر الشركة].[All]" dimensionUniqueName="[Sales]" displayFolder="" count="0" memberValueDatatype="5" unbalanced="0"/>
    <cacheHierarchy uniqueName="[Sales].[الكمية]" caption="الكمية" attribute="1" defaultMemberUniqueName="[Sales].[الكمية].[All]" allUniqueName="[Sales].[الكمية].[All]" dimensionUniqueName="[Sales]" displayFolder="" count="0" memberValueDatatype="5" unbalanced="0"/>
    <cacheHierarchy uniqueName="[Sales].[سعر الشراء]" caption="سعر الشراء" attribute="1" defaultMemberUniqueName="[Sales].[سعر الشراء].[All]" allUniqueName="[Sales].[سعر الشراء].[All]" dimensionUniqueName="[Sales]" displayFolder="" count="0" memberValueDatatype="130" unbalanced="0"/>
    <cacheHierarchy uniqueName="[Sales].[سعر الوحدة]" caption="سعر الوحدة" attribute="1" defaultMemberUniqueName="[Sales].[سعر الوحدة].[All]" allUniqueName="[Sales].[سعر الوحدة].[All]" dimensionUniqueName="[Sales]" displayFolder="" count="0" memberValueDatatype="130" unbalanced="0"/>
    <cacheHierarchy uniqueName="[Sales].[قيمة خصم]" caption="قيمة خصم" attribute="1" defaultMemberUniqueName="[Sales].[قيمة خصم].[All]" allUniqueName="[Sales].[قيمة خصم].[All]" dimensionUniqueName="[Sales]" displayFolder="" count="0" memberValueDatatype="20" unbalanced="0"/>
    <cacheHierarchy uniqueName="[Sales].[السعر الصافى]" caption="السعر الصافى" attribute="1" defaultMemberUniqueName="[Sales].[السعر الصافى].[All]" allUniqueName="[Sales].[السعر الصافى].[All]" dimensionUniqueName="[Sales]" displayFolder="" count="0" memberValueDatatype="5" unbalanced="0"/>
    <cacheHierarchy uniqueName="[Sales].[التصنيف]" caption="التصنيف" attribute="1" defaultMemberUniqueName="[Sales].[التصنيف].[All]" allUniqueName="[Sales].[التصنيف].[All]" dimensionUniqueName="[Sales]" displayFolder="" count="2" memberValueDatatype="130" unbalanced="0">
      <fieldsUsage count="2">
        <fieldUsage x="-1"/>
        <fieldUsage x="2"/>
      </fieldsUsage>
    </cacheHierarchy>
    <cacheHierarchy uniqueName="[Sales].[نسبة العمولة]" caption="نسبة العمولة" attribute="1" defaultMemberUniqueName="[Sales].[نسبة العمولة].[All]" allUniqueName="[Sales].[نسبة العمولة].[All]" dimensionUniqueName="[Sales]" displayFolder="" count="0" memberValueDatatype="5" unbalanced="0"/>
    <cacheHierarchy uniqueName="[Sales].[العمولة]" caption="العمولة" attribute="1" defaultMemberUniqueName="[Sales].[العمولة].[All]" allUniqueName="[Sales].[العمولة].[All]" dimensionUniqueName="[Sales]" displayFolder="" count="0" memberValueDatatype="5" unbalanced="0"/>
    <cacheHierarchy uniqueName="[Sales].[سيارات]" caption="سيارات" attribute="1" defaultMemberUniqueName="[Sales].[سيارات].[All]" allUniqueName="[Sales].[سيارات].[All]" dimensionUniqueName="[Sales]" displayFolder="" count="0" memberValueDatatype="20" unbalanced="0"/>
    <cacheHierarchy uniqueName="[Sales].[حافز]" caption="حافز" attribute="1" defaultMemberUniqueName="[Sales].[حافز].[All]" allUniqueName="[Sales].[حافز].[All]" dimensionUniqueName="[Sales]" displayFolder="" count="0" memberValueDatatype="20" unbalanced="0"/>
    <cacheHierarchy uniqueName="[Sales].[اجمالى العمولة]" caption="اجمالى العمولة" attribute="1" defaultMemberUniqueName="[Sales].[اجمالى العمولة].[All]" allUniqueName="[Sales].[اجمالى العمولة].[All]" dimensionUniqueName="[Sales]" displayFolder="" count="0" memberValueDatatype="5" unbalanced="0"/>
    <cacheHierarchy uniqueName="[Sales].[الشهور]" caption="الشهور" attribute="1" defaultMemberUniqueName="[Sales].[الشهور].[All]" allUniqueName="[Sales].[الشهور].[All]" dimensionUniqueName="[Sales]" displayFolder="" count="2" memberValueDatatype="130" unbalanced="0">
      <fieldsUsage count="2">
        <fieldUsage x="-1"/>
        <fieldUsage x="0"/>
      </fieldsUsage>
    </cacheHierarchy>
    <cacheHierarchy uniqueName="[Sales].[رقم الطلبية]" caption="رقم الطلبية" attribute="1" defaultMemberUniqueName="[Sales].[رقم الطلبية].[All]" allUniqueName="[Sales].[رقم الطلبية].[All]" dimensionUniqueName="[Sales]" displayFolder="" count="0" memberValueDatatype="20" unbalanced="0"/>
    <cacheHierarchy uniqueName="[Target].[الشهور]" caption="الشهور" attribute="1" defaultMemberUniqueName="[Target].[الشهور].[All]" allUniqueName="[Target].[الشهور].[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20" unbalanced="0"/>
    <cacheHierarchy uniqueName="[Measures].[__XL_Count Sales]" caption="__XL_Count Sales" measure="1" displayFolder="" measureGroup="Sale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رقم الطلبية]" caption="Sum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Distinct Count of رقم الطلبية]" caption="Distinct Count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Sum of سعر الشركة]" caption="Sum of سعر الشركة" measure="1" displayFolder="" measureGroup="Sales"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18"/>
        </ext>
      </extLst>
    </cacheHierarchy>
    <cacheHierarchy uniqueName="[Measures].[Count of اسم الصنف]" caption="Count of اسم الصنف" measure="1" displayFolder="" measureGroup="Sales" count="0" hidden="1">
      <extLst>
        <ext xmlns:x15="http://schemas.microsoft.com/office/spreadsheetml/2010/11/main" uri="{B97F6D7D-B522-45F9-BDA1-12C45D357490}">
          <x15:cacheHierarchy aggregatedColumn="2"/>
        </ext>
      </extLst>
    </cacheHierarchy>
    <cacheHierarchy uniqueName="[Measures].[Sum of الكمية]" caption="Sum of الكمية" measure="1" displayFolder="" measureGroup="Sales" count="0" hidden="1">
      <extLst>
        <ext xmlns:x15="http://schemas.microsoft.com/office/spreadsheetml/2010/11/main" uri="{B97F6D7D-B522-45F9-BDA1-12C45D357490}">
          <x15:cacheHierarchy aggregatedColumn="4"/>
        </ext>
      </extLst>
    </cacheHierarchy>
    <cacheHierarchy uniqueName="[Measures].[Count of الشهور]" caption="Count of الشهور" measure="1" displayFolder="" measureGroup="Sales" count="0" hidden="1">
      <extLst>
        <ext xmlns:x15="http://schemas.microsoft.com/office/spreadsheetml/2010/11/main" uri="{B97F6D7D-B522-45F9-BDA1-12C45D357490}">
          <x15:cacheHierarchy aggregatedColumn="15"/>
        </ext>
      </extLst>
    </cacheHierarchy>
    <cacheHierarchy uniqueName="[Measures].[Count of سعر الشراء]" caption="Count of سعر الشراء" measure="1" displayFolder="" measureGroup="Sales" count="0" hidden="1">
      <extLst>
        <ext xmlns:x15="http://schemas.microsoft.com/office/spreadsheetml/2010/11/main" uri="{B97F6D7D-B522-45F9-BDA1-12C45D357490}">
          <x15:cacheHierarchy aggregatedColumn="5"/>
        </ext>
      </extLst>
    </cacheHierarchy>
    <cacheHierarchy uniqueName="Unsupported0" caption="م" measure="1" count="0">
      <extLst>
        <ext xmlns:x14="http://schemas.microsoft.com/office/spreadsheetml/2009/9/main" uri="{8CF416AD-EC4C-4aba-99F5-12A058AE0983}">
          <x14:cacheHierarchy ignore="1"/>
        </ext>
      </extLst>
    </cacheHierarchy>
  </cacheHierarchies>
  <kpis count="0"/>
  <dimensions count="3">
    <dimension measure="1" name="Measures" uniqueName="[Measures]" caption="Measures"/>
    <dimension name="Sales" uniqueName="[Sales]" caption="Sales"/>
    <dimension name="Target" uniqueName="[Target]" caption="Target"/>
  </dimensions>
  <measureGroups count="2">
    <measureGroup name="Sales" caption="Sales"/>
    <measureGroup name="Target" caption="Targe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38.591811689817" backgroundQuery="1" createdVersion="8" refreshedVersion="8" minRefreshableVersion="3" recordCount="0" supportSubquery="1" supportAdvancedDrill="1" xr:uid="{38780C31-A340-4A47-960C-9DBF9997DEB7}">
  <cacheSource type="external" connectionId="3"/>
  <cacheFields count="4">
    <cacheField name="[Sales].[الشهور].[الشهور]" caption="الشهور" numFmtId="0" hierarchy="15" level="1">
      <sharedItems containsSemiMixedTypes="0" containsNonDate="0" containsString="0"/>
    </cacheField>
    <cacheField name="[Sales].[اسم الصنف].[اسم الصنف]" caption="اسم الصنف" numFmtId="0" hierarchy="2" level="1">
      <sharedItems count="17">
        <s v="رايب المراعى 220 جم"/>
        <s v="رايب المراعى 440 جم"/>
        <s v="زبادى 170 جم (عرض وفر جنية) 24 علبة"/>
        <s v="زبادى بودينج 60 جم"/>
        <s v="زبادى بيتى 65 جم"/>
        <s v="زبادى بيتى 65 جم  طبيعى"/>
        <s v="زبادى بيتى 65 فرولة"/>
        <s v="زبادى تريتس بقطع الفواكهة عرض"/>
        <s v="زبادى تريتس بقطع الفواكهة عرض48 قطعة"/>
        <s v="زبادى دلة 65جم"/>
        <s v="زبادى طبيعى 75 جم"/>
        <s v="زبادى فراولة 75 جم"/>
        <s v="زبادى قطع 70 جم"/>
        <s v="زبادى يونانى 170 جم (5%)"/>
        <s v="كيك باور لوزين"/>
        <s v="مشروب زبادى  220 جم (12 علبة)"/>
        <s v="مشروب زبادى 440جم YOGo"/>
      </sharedItems>
    </cacheField>
    <cacheField name="[Measures].[Sum of سعر الشركة]" caption="Sum of سعر الشركة" numFmtId="0" hierarchy="24" level="32767"/>
    <cacheField name="[Measures].[Sum of الكمية]" caption="Sum of الكمية" numFmtId="0" hierarchy="27" level="32767"/>
  </cacheFields>
  <cacheHierarchies count="30">
    <cacheHierarchy uniqueName="[Sales].[م]" caption="م" attribute="1" defaultMemberUniqueName="[Sales].[م].[All]" allUniqueName="[Sales].[م].[All]" dimensionUniqueName="[Sales]" displayFolder="" count="0" memberValueDatatype="20" unbalanced="0"/>
    <cacheHierarchy uniqueName="[Sales].[التاريخ]" caption="التاريخ" attribute="1" time="1" defaultMemberUniqueName="[Sales].[التاريخ].[All]" allUniqueName="[Sales].[التاريخ].[All]" dimensionUniqueName="[Sales]" displayFolder="" count="0" memberValueDatatype="7" unbalanced="0"/>
    <cacheHierarchy uniqueName="[Sales].[اسم الصنف]" caption="اسم الصنف" attribute="1" defaultMemberUniqueName="[Sales].[اسم الصنف].[All]" allUniqueName="[Sales].[اسم الصنف].[All]" dimensionUniqueName="[Sales]" displayFolder="" count="2" memberValueDatatype="130" unbalanced="0">
      <fieldsUsage count="2">
        <fieldUsage x="-1"/>
        <fieldUsage x="1"/>
      </fieldsUsage>
    </cacheHierarchy>
    <cacheHierarchy uniqueName="[Sales].[سعر الشركة]" caption="سعر الشركة" attribute="1" defaultMemberUniqueName="[Sales].[سعر الشركة].[All]" allUniqueName="[Sales].[سعر الشركة].[All]" dimensionUniqueName="[Sales]" displayFolder="" count="0" memberValueDatatype="5" unbalanced="0"/>
    <cacheHierarchy uniqueName="[Sales].[الكمية]" caption="الكمية" attribute="1" defaultMemberUniqueName="[Sales].[الكمية].[All]" allUniqueName="[Sales].[الكمية].[All]" dimensionUniqueName="[Sales]" displayFolder="" count="0" memberValueDatatype="5" unbalanced="0"/>
    <cacheHierarchy uniqueName="[Sales].[سعر الشراء]" caption="سعر الشراء" attribute="1" defaultMemberUniqueName="[Sales].[سعر الشراء].[All]" allUniqueName="[Sales].[سعر الشراء].[All]" dimensionUniqueName="[Sales]" displayFolder="" count="0" memberValueDatatype="130" unbalanced="0"/>
    <cacheHierarchy uniqueName="[Sales].[سعر الوحدة]" caption="سعر الوحدة" attribute="1" defaultMemberUniqueName="[Sales].[سعر الوحدة].[All]" allUniqueName="[Sales].[سعر الوحدة].[All]" dimensionUniqueName="[Sales]" displayFolder="" count="0" memberValueDatatype="130" unbalanced="0"/>
    <cacheHierarchy uniqueName="[Sales].[قيمة خصم]" caption="قيمة خصم" attribute="1" defaultMemberUniqueName="[Sales].[قيمة خصم].[All]" allUniqueName="[Sales].[قيمة خصم].[All]" dimensionUniqueName="[Sales]" displayFolder="" count="0" memberValueDatatype="20" unbalanced="0"/>
    <cacheHierarchy uniqueName="[Sales].[السعر الصافى]" caption="السعر الصافى" attribute="1" defaultMemberUniqueName="[Sales].[السعر الصافى].[All]" allUniqueName="[Sales].[السعر الصافى].[All]" dimensionUniqueName="[Sales]" displayFolder="" count="0" memberValueDatatype="5" unbalanced="0"/>
    <cacheHierarchy uniqueName="[Sales].[التصنيف]" caption="التصنيف" attribute="1" defaultMemberUniqueName="[Sales].[التصنيف].[All]" allUniqueName="[Sales].[التصنيف].[All]" dimensionUniqueName="[Sales]" displayFolder="" count="0" memberValueDatatype="130" unbalanced="0"/>
    <cacheHierarchy uniqueName="[Sales].[نسبة العمولة]" caption="نسبة العمولة" attribute="1" defaultMemberUniqueName="[Sales].[نسبة العمولة].[All]" allUniqueName="[Sales].[نسبة العمولة].[All]" dimensionUniqueName="[Sales]" displayFolder="" count="0" memberValueDatatype="5" unbalanced="0"/>
    <cacheHierarchy uniqueName="[Sales].[العمولة]" caption="العمولة" attribute="1" defaultMemberUniqueName="[Sales].[العمولة].[All]" allUniqueName="[Sales].[العمولة].[All]" dimensionUniqueName="[Sales]" displayFolder="" count="0" memberValueDatatype="5" unbalanced="0"/>
    <cacheHierarchy uniqueName="[Sales].[سيارات]" caption="سيارات" attribute="1" defaultMemberUniqueName="[Sales].[سيارات].[All]" allUniqueName="[Sales].[سيارات].[All]" dimensionUniqueName="[Sales]" displayFolder="" count="0" memberValueDatatype="20" unbalanced="0"/>
    <cacheHierarchy uniqueName="[Sales].[حافز]" caption="حافز" attribute="1" defaultMemberUniqueName="[Sales].[حافز].[All]" allUniqueName="[Sales].[حافز].[All]" dimensionUniqueName="[Sales]" displayFolder="" count="0" memberValueDatatype="20" unbalanced="0"/>
    <cacheHierarchy uniqueName="[Sales].[اجمالى العمولة]" caption="اجمالى العمولة" attribute="1" defaultMemberUniqueName="[Sales].[اجمالى العمولة].[All]" allUniqueName="[Sales].[اجمالى العمولة].[All]" dimensionUniqueName="[Sales]" displayFolder="" count="0" memberValueDatatype="5" unbalanced="0"/>
    <cacheHierarchy uniqueName="[Sales].[الشهور]" caption="الشهور" attribute="1" defaultMemberUniqueName="[Sales].[الشهور].[All]" allUniqueName="[Sales].[الشهور].[All]" dimensionUniqueName="[Sales]" displayFolder="" count="2" memberValueDatatype="130" unbalanced="0">
      <fieldsUsage count="2">
        <fieldUsage x="-1"/>
        <fieldUsage x="0"/>
      </fieldsUsage>
    </cacheHierarchy>
    <cacheHierarchy uniqueName="[Sales].[رقم الطلبية]" caption="رقم الطلبية" attribute="1" defaultMemberUniqueName="[Sales].[رقم الطلبية].[All]" allUniqueName="[Sales].[رقم الطلبية].[All]" dimensionUniqueName="[Sales]" displayFolder="" count="0" memberValueDatatype="20" unbalanced="0"/>
    <cacheHierarchy uniqueName="[Target].[الشهور]" caption="الشهور" attribute="1" defaultMemberUniqueName="[Target].[الشهور].[All]" allUniqueName="[Target].[الشهور].[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20" unbalanced="0"/>
    <cacheHierarchy uniqueName="[Measures].[__XL_Count Sales]" caption="__XL_Count Sales" measure="1" displayFolder="" measureGroup="Sale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رقم الطلبية]" caption="Sum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Distinct Count of رقم الطلبية]" caption="Distinct Count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Sum of سعر الشركة]" caption="Sum of سعر الشركة" measure="1" displayFolder="" measureGroup="Sales"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18"/>
        </ext>
      </extLst>
    </cacheHierarchy>
    <cacheHierarchy uniqueName="[Measures].[Count of اسم الصنف]" caption="Count of اسم الصنف" measure="1" displayFolder="" measureGroup="Sales" count="0" hidden="1">
      <extLst>
        <ext xmlns:x15="http://schemas.microsoft.com/office/spreadsheetml/2010/11/main" uri="{B97F6D7D-B522-45F9-BDA1-12C45D357490}">
          <x15:cacheHierarchy aggregatedColumn="2"/>
        </ext>
      </extLst>
    </cacheHierarchy>
    <cacheHierarchy uniqueName="[Measures].[Sum of الكمية]" caption="Sum of الكمية" measure="1" displayFolder="" measureGroup="Sales"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الشهور]" caption="Count of الشهور" measure="1" displayFolder="" measureGroup="Sales" count="0" hidden="1">
      <extLst>
        <ext xmlns:x15="http://schemas.microsoft.com/office/spreadsheetml/2010/11/main" uri="{B97F6D7D-B522-45F9-BDA1-12C45D357490}">
          <x15:cacheHierarchy aggregatedColumn="15"/>
        </ext>
      </extLst>
    </cacheHierarchy>
    <cacheHierarchy uniqueName="[Measures].[Count of سعر الشراء]" caption="Count of سعر الشراء" measure="1" displayFolder="" measureGroup="Sale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Sales" uniqueName="[Sales]" caption="Sales"/>
    <dimension name="Target" uniqueName="[Target]" caption="Target"/>
  </dimensions>
  <measureGroups count="2">
    <measureGroup name="Sales" caption="Sales"/>
    <measureGroup name="Target" caption="Targe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38.591812268518" backgroundQuery="1" createdVersion="8" refreshedVersion="8" minRefreshableVersion="3" recordCount="0" supportSubquery="1" supportAdvancedDrill="1" xr:uid="{A5EEE763-729F-411F-A348-5C770B36393E}">
  <cacheSource type="external" connectionId="3"/>
  <cacheFields count="4">
    <cacheField name="[Sales].[الشهور].[الشهور]" caption="الشهور" numFmtId="0" hierarchy="15" level="1">
      <sharedItems count="12">
        <s v="أبريل"/>
        <s v="أغسطس"/>
        <s v="أكتوبر"/>
        <s v="ديسمبر"/>
        <s v="سبتمبر"/>
        <s v="فبراير"/>
        <s v="مارس"/>
        <s v="مايو"/>
        <s v="نوفمبر"/>
        <s v="يناير"/>
        <s v="يوليو"/>
        <s v="يونية"/>
      </sharedItems>
    </cacheField>
    <cacheField name="[Sales].[اسم الصنف].[اسم الصنف]" caption="اسم الصنف" numFmtId="0" hierarchy="2" level="1">
      <sharedItems count="9">
        <s v="عصير المراعى 1 لتر (اطعم مختلفة )"/>
        <s v="عصير المراعى 1 لتر (مانجو )"/>
        <s v="عصير المراعى 235 ملل"/>
        <s v="عصير بيتى  1 لتر (مانجو ) عرض"/>
        <s v="عصير بيتى 1 لتر (جوافة و تفاح و كوكتيل)"/>
        <s v="عصير بيتى 1 لتر (مانجو و اناناس وبرتقال)"/>
        <s v="عصير بيتى 235 ملى"/>
        <s v="عصير كل يوم 200 ملى"/>
        <s v="عصير كل يوم 225ملى"/>
      </sharedItems>
    </cacheField>
    <cacheField name="[Measures].[Sum of سعر الشركة]" caption="Sum of سعر الشركة" numFmtId="0" hierarchy="24" level="32767"/>
    <cacheField name="[Measures].[Sum of الكمية]" caption="Sum of الكمية" numFmtId="0" hierarchy="27" level="32767"/>
  </cacheFields>
  <cacheHierarchies count="30">
    <cacheHierarchy uniqueName="[Sales].[م]" caption="م" attribute="1" defaultMemberUniqueName="[Sales].[م].[All]" allUniqueName="[Sales].[م].[All]" dimensionUniqueName="[Sales]" displayFolder="" count="0" memberValueDatatype="20" unbalanced="0"/>
    <cacheHierarchy uniqueName="[Sales].[التاريخ]" caption="التاريخ" attribute="1" time="1" defaultMemberUniqueName="[Sales].[التاريخ].[All]" allUniqueName="[Sales].[التاريخ].[All]" dimensionUniqueName="[Sales]" displayFolder="" count="0" memberValueDatatype="7" unbalanced="0"/>
    <cacheHierarchy uniqueName="[Sales].[اسم الصنف]" caption="اسم الصنف" attribute="1" defaultMemberUniqueName="[Sales].[اسم الصنف].[All]" allUniqueName="[Sales].[اسم الصنف].[All]" dimensionUniqueName="[Sales]" displayFolder="" count="2" memberValueDatatype="130" unbalanced="0">
      <fieldsUsage count="2">
        <fieldUsage x="-1"/>
        <fieldUsage x="1"/>
      </fieldsUsage>
    </cacheHierarchy>
    <cacheHierarchy uniqueName="[Sales].[سعر الشركة]" caption="سعر الشركة" attribute="1" defaultMemberUniqueName="[Sales].[سعر الشركة].[All]" allUniqueName="[Sales].[سعر الشركة].[All]" dimensionUniqueName="[Sales]" displayFolder="" count="0" memberValueDatatype="5" unbalanced="0"/>
    <cacheHierarchy uniqueName="[Sales].[الكمية]" caption="الكمية" attribute="1" defaultMemberUniqueName="[Sales].[الكمية].[All]" allUniqueName="[Sales].[الكمية].[All]" dimensionUniqueName="[Sales]" displayFolder="" count="0" memberValueDatatype="5" unbalanced="0"/>
    <cacheHierarchy uniqueName="[Sales].[سعر الشراء]" caption="سعر الشراء" attribute="1" defaultMemberUniqueName="[Sales].[سعر الشراء].[All]" allUniqueName="[Sales].[سعر الشراء].[All]" dimensionUniqueName="[Sales]" displayFolder="" count="0" memberValueDatatype="130" unbalanced="0"/>
    <cacheHierarchy uniqueName="[Sales].[سعر الوحدة]" caption="سعر الوحدة" attribute="1" defaultMemberUniqueName="[Sales].[سعر الوحدة].[All]" allUniqueName="[Sales].[سعر الوحدة].[All]" dimensionUniqueName="[Sales]" displayFolder="" count="0" memberValueDatatype="130" unbalanced="0"/>
    <cacheHierarchy uniqueName="[Sales].[قيمة خصم]" caption="قيمة خصم" attribute="1" defaultMemberUniqueName="[Sales].[قيمة خصم].[All]" allUniqueName="[Sales].[قيمة خصم].[All]" dimensionUniqueName="[Sales]" displayFolder="" count="0" memberValueDatatype="20" unbalanced="0"/>
    <cacheHierarchy uniqueName="[Sales].[السعر الصافى]" caption="السعر الصافى" attribute="1" defaultMemberUniqueName="[Sales].[السعر الصافى].[All]" allUniqueName="[Sales].[السعر الصافى].[All]" dimensionUniqueName="[Sales]" displayFolder="" count="0" memberValueDatatype="5" unbalanced="0"/>
    <cacheHierarchy uniqueName="[Sales].[التصنيف]" caption="التصنيف" attribute="1" defaultMemberUniqueName="[Sales].[التصنيف].[All]" allUniqueName="[Sales].[التصنيف].[All]" dimensionUniqueName="[Sales]" displayFolder="" count="0" memberValueDatatype="130" unbalanced="0"/>
    <cacheHierarchy uniqueName="[Sales].[نسبة العمولة]" caption="نسبة العمولة" attribute="1" defaultMemberUniqueName="[Sales].[نسبة العمولة].[All]" allUniqueName="[Sales].[نسبة العمولة].[All]" dimensionUniqueName="[Sales]" displayFolder="" count="0" memberValueDatatype="5" unbalanced="0"/>
    <cacheHierarchy uniqueName="[Sales].[العمولة]" caption="العمولة" attribute="1" defaultMemberUniqueName="[Sales].[العمولة].[All]" allUniqueName="[Sales].[العمولة].[All]" dimensionUniqueName="[Sales]" displayFolder="" count="0" memberValueDatatype="5" unbalanced="0"/>
    <cacheHierarchy uniqueName="[Sales].[سيارات]" caption="سيارات" attribute="1" defaultMemberUniqueName="[Sales].[سيارات].[All]" allUniqueName="[Sales].[سيارات].[All]" dimensionUniqueName="[Sales]" displayFolder="" count="0" memberValueDatatype="20" unbalanced="0"/>
    <cacheHierarchy uniqueName="[Sales].[حافز]" caption="حافز" attribute="1" defaultMemberUniqueName="[Sales].[حافز].[All]" allUniqueName="[Sales].[حافز].[All]" dimensionUniqueName="[Sales]" displayFolder="" count="0" memberValueDatatype="20" unbalanced="0"/>
    <cacheHierarchy uniqueName="[Sales].[اجمالى العمولة]" caption="اجمالى العمولة" attribute="1" defaultMemberUniqueName="[Sales].[اجمالى العمولة].[All]" allUniqueName="[Sales].[اجمالى العمولة].[All]" dimensionUniqueName="[Sales]" displayFolder="" count="0" memberValueDatatype="5" unbalanced="0"/>
    <cacheHierarchy uniqueName="[Sales].[الشهور]" caption="الشهور" attribute="1" defaultMemberUniqueName="[Sales].[الشهور].[All]" allUniqueName="[Sales].[الشهور].[All]" dimensionUniqueName="[Sales]" displayFolder="" count="2" memberValueDatatype="130" unbalanced="0">
      <fieldsUsage count="2">
        <fieldUsage x="-1"/>
        <fieldUsage x="0"/>
      </fieldsUsage>
    </cacheHierarchy>
    <cacheHierarchy uniqueName="[Sales].[رقم الطلبية]" caption="رقم الطلبية" attribute="1" defaultMemberUniqueName="[Sales].[رقم الطلبية].[All]" allUniqueName="[Sales].[رقم الطلبية].[All]" dimensionUniqueName="[Sales]" displayFolder="" count="0" memberValueDatatype="20" unbalanced="0"/>
    <cacheHierarchy uniqueName="[Target].[الشهور]" caption="الشهور" attribute="1" defaultMemberUniqueName="[Target].[الشهور].[All]" allUniqueName="[Target].[الشهور].[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20" unbalanced="0"/>
    <cacheHierarchy uniqueName="[Measures].[__XL_Count Sales]" caption="__XL_Count Sales" measure="1" displayFolder="" measureGroup="Sale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رقم الطلبية]" caption="Sum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Distinct Count of رقم الطلبية]" caption="Distinct Count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Sum of سعر الشركة]" caption="Sum of سعر الشركة" measure="1" displayFolder="" measureGroup="Sales"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18"/>
        </ext>
      </extLst>
    </cacheHierarchy>
    <cacheHierarchy uniqueName="[Measures].[Count of اسم الصنف]" caption="Count of اسم الصنف" measure="1" displayFolder="" measureGroup="Sales" count="0" hidden="1">
      <extLst>
        <ext xmlns:x15="http://schemas.microsoft.com/office/spreadsheetml/2010/11/main" uri="{B97F6D7D-B522-45F9-BDA1-12C45D357490}">
          <x15:cacheHierarchy aggregatedColumn="2"/>
        </ext>
      </extLst>
    </cacheHierarchy>
    <cacheHierarchy uniqueName="[Measures].[Sum of الكمية]" caption="Sum of الكمية" measure="1" displayFolder="" measureGroup="Sales"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الشهور]" caption="Count of الشهور" measure="1" displayFolder="" measureGroup="Sales" count="0" hidden="1">
      <extLst>
        <ext xmlns:x15="http://schemas.microsoft.com/office/spreadsheetml/2010/11/main" uri="{B97F6D7D-B522-45F9-BDA1-12C45D357490}">
          <x15:cacheHierarchy aggregatedColumn="15"/>
        </ext>
      </extLst>
    </cacheHierarchy>
    <cacheHierarchy uniqueName="[Measures].[Count of سعر الشراء]" caption="Count of سعر الشراء" measure="1" displayFolder="" measureGroup="Sale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Sales" uniqueName="[Sales]" caption="Sales"/>
    <dimension name="Target" uniqueName="[Target]" caption="Target"/>
  </dimensions>
  <measureGroups count="2">
    <measureGroup name="Sales" caption="Sales"/>
    <measureGroup name="Target" caption="Targe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38.591812847226" backgroundQuery="1" createdVersion="8" refreshedVersion="8" minRefreshableVersion="3" recordCount="0" supportSubquery="1" supportAdvancedDrill="1" xr:uid="{90063E71-53DD-4CDA-9D9D-DDD0F5B4F267}">
  <cacheSource type="external" connectionId="3"/>
  <cacheFields count="4">
    <cacheField name="[Sales].[الشهور].[الشهور]" caption="الشهور" numFmtId="0" hierarchy="15" level="1">
      <sharedItems count="12">
        <s v="أبريل"/>
        <s v="أغسطس"/>
        <s v="أكتوبر"/>
        <s v="ديسمبر"/>
        <s v="سبتمبر"/>
        <s v="فبراير"/>
        <s v="مارس"/>
        <s v="مايو"/>
        <s v="نوفمبر"/>
        <s v="يناير"/>
        <s v="يوليو"/>
        <s v="يونية"/>
      </sharedItems>
    </cacheField>
    <cacheField name="[Sales].[اسم الصنف].[اسم الصنف]" caption="اسم الصنف" numFmtId="0" hierarchy="2" level="1">
      <sharedItems count="6">
        <s v="جبنة المراعى 125جم"/>
        <s v="جبنة المراعى 250جم"/>
        <s v="جبنة المراعى 500 جم"/>
        <s v="جبنة المراعى 500 جم رومى وشيدر"/>
        <s v="جبنة المراعى شيدر 250جم"/>
        <s v="جبنة مثلثات 8 قطعة *24 علبة"/>
      </sharedItems>
    </cacheField>
    <cacheField name="[Measures].[Sum of سعر الشركة]" caption="Sum of سعر الشركة" numFmtId="0" hierarchy="24" level="32767"/>
    <cacheField name="[Measures].[Sum of الكمية]" caption="Sum of الكمية" numFmtId="0" hierarchy="27" level="32767"/>
  </cacheFields>
  <cacheHierarchies count="30">
    <cacheHierarchy uniqueName="[Sales].[م]" caption="م" attribute="1" defaultMemberUniqueName="[Sales].[م].[All]" allUniqueName="[Sales].[م].[All]" dimensionUniqueName="[Sales]" displayFolder="" count="0" memberValueDatatype="20" unbalanced="0"/>
    <cacheHierarchy uniqueName="[Sales].[التاريخ]" caption="التاريخ" attribute="1" time="1" defaultMemberUniqueName="[Sales].[التاريخ].[All]" allUniqueName="[Sales].[التاريخ].[All]" dimensionUniqueName="[Sales]" displayFolder="" count="0" memberValueDatatype="7" unbalanced="0"/>
    <cacheHierarchy uniqueName="[Sales].[اسم الصنف]" caption="اسم الصنف" attribute="1" defaultMemberUniqueName="[Sales].[اسم الصنف].[All]" allUniqueName="[Sales].[اسم الصنف].[All]" dimensionUniqueName="[Sales]" displayFolder="" count="2" memberValueDatatype="130" unbalanced="0">
      <fieldsUsage count="2">
        <fieldUsage x="-1"/>
        <fieldUsage x="1"/>
      </fieldsUsage>
    </cacheHierarchy>
    <cacheHierarchy uniqueName="[Sales].[سعر الشركة]" caption="سعر الشركة" attribute="1" defaultMemberUniqueName="[Sales].[سعر الشركة].[All]" allUniqueName="[Sales].[سعر الشركة].[All]" dimensionUniqueName="[Sales]" displayFolder="" count="0" memberValueDatatype="5" unbalanced="0"/>
    <cacheHierarchy uniqueName="[Sales].[الكمية]" caption="الكمية" attribute="1" defaultMemberUniqueName="[Sales].[الكمية].[All]" allUniqueName="[Sales].[الكمية].[All]" dimensionUniqueName="[Sales]" displayFolder="" count="0" memberValueDatatype="5" unbalanced="0"/>
    <cacheHierarchy uniqueName="[Sales].[سعر الشراء]" caption="سعر الشراء" attribute="1" defaultMemberUniqueName="[Sales].[سعر الشراء].[All]" allUniqueName="[Sales].[سعر الشراء].[All]" dimensionUniqueName="[Sales]" displayFolder="" count="0" memberValueDatatype="130" unbalanced="0"/>
    <cacheHierarchy uniqueName="[Sales].[سعر الوحدة]" caption="سعر الوحدة" attribute="1" defaultMemberUniqueName="[Sales].[سعر الوحدة].[All]" allUniqueName="[Sales].[سعر الوحدة].[All]" dimensionUniqueName="[Sales]" displayFolder="" count="0" memberValueDatatype="130" unbalanced="0"/>
    <cacheHierarchy uniqueName="[Sales].[قيمة خصم]" caption="قيمة خصم" attribute="1" defaultMemberUniqueName="[Sales].[قيمة خصم].[All]" allUniqueName="[Sales].[قيمة خصم].[All]" dimensionUniqueName="[Sales]" displayFolder="" count="0" memberValueDatatype="20" unbalanced="0"/>
    <cacheHierarchy uniqueName="[Sales].[السعر الصافى]" caption="السعر الصافى" attribute="1" defaultMemberUniqueName="[Sales].[السعر الصافى].[All]" allUniqueName="[Sales].[السعر الصافى].[All]" dimensionUniqueName="[Sales]" displayFolder="" count="0" memberValueDatatype="5" unbalanced="0"/>
    <cacheHierarchy uniqueName="[Sales].[التصنيف]" caption="التصنيف" attribute="1" defaultMemberUniqueName="[Sales].[التصنيف].[All]" allUniqueName="[Sales].[التصنيف].[All]" dimensionUniqueName="[Sales]" displayFolder="" count="0" memberValueDatatype="130" unbalanced="0"/>
    <cacheHierarchy uniqueName="[Sales].[نسبة العمولة]" caption="نسبة العمولة" attribute="1" defaultMemberUniqueName="[Sales].[نسبة العمولة].[All]" allUniqueName="[Sales].[نسبة العمولة].[All]" dimensionUniqueName="[Sales]" displayFolder="" count="0" memberValueDatatype="5" unbalanced="0"/>
    <cacheHierarchy uniqueName="[Sales].[العمولة]" caption="العمولة" attribute="1" defaultMemberUniqueName="[Sales].[العمولة].[All]" allUniqueName="[Sales].[العمولة].[All]" dimensionUniqueName="[Sales]" displayFolder="" count="0" memberValueDatatype="5" unbalanced="0"/>
    <cacheHierarchy uniqueName="[Sales].[سيارات]" caption="سيارات" attribute="1" defaultMemberUniqueName="[Sales].[سيارات].[All]" allUniqueName="[Sales].[سيارات].[All]" dimensionUniqueName="[Sales]" displayFolder="" count="0" memberValueDatatype="20" unbalanced="0"/>
    <cacheHierarchy uniqueName="[Sales].[حافز]" caption="حافز" attribute="1" defaultMemberUniqueName="[Sales].[حافز].[All]" allUniqueName="[Sales].[حافز].[All]" dimensionUniqueName="[Sales]" displayFolder="" count="0" memberValueDatatype="20" unbalanced="0"/>
    <cacheHierarchy uniqueName="[Sales].[اجمالى العمولة]" caption="اجمالى العمولة" attribute="1" defaultMemberUniqueName="[Sales].[اجمالى العمولة].[All]" allUniqueName="[Sales].[اجمالى العمولة].[All]" dimensionUniqueName="[Sales]" displayFolder="" count="0" memberValueDatatype="5" unbalanced="0"/>
    <cacheHierarchy uniqueName="[Sales].[الشهور]" caption="الشهور" attribute="1" defaultMemberUniqueName="[Sales].[الشهور].[All]" allUniqueName="[Sales].[الشهور].[All]" dimensionUniqueName="[Sales]" displayFolder="" count="2" memberValueDatatype="130" unbalanced="0">
      <fieldsUsage count="2">
        <fieldUsage x="-1"/>
        <fieldUsage x="0"/>
      </fieldsUsage>
    </cacheHierarchy>
    <cacheHierarchy uniqueName="[Sales].[رقم الطلبية]" caption="رقم الطلبية" attribute="1" defaultMemberUniqueName="[Sales].[رقم الطلبية].[All]" allUniqueName="[Sales].[رقم الطلبية].[All]" dimensionUniqueName="[Sales]" displayFolder="" count="0" memberValueDatatype="20" unbalanced="0"/>
    <cacheHierarchy uniqueName="[Target].[الشهور]" caption="الشهور" attribute="1" defaultMemberUniqueName="[Target].[الشهور].[All]" allUniqueName="[Target].[الشهور].[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20" unbalanced="0"/>
    <cacheHierarchy uniqueName="[Measures].[__XL_Count Sales]" caption="__XL_Count Sales" measure="1" displayFolder="" measureGroup="Sale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رقم الطلبية]" caption="Sum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Distinct Count of رقم الطلبية]" caption="Distinct Count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Sum of سعر الشركة]" caption="Sum of سعر الشركة" measure="1" displayFolder="" measureGroup="Sales"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18"/>
        </ext>
      </extLst>
    </cacheHierarchy>
    <cacheHierarchy uniqueName="[Measures].[Count of اسم الصنف]" caption="Count of اسم الصنف" measure="1" displayFolder="" measureGroup="Sales" count="0" hidden="1">
      <extLst>
        <ext xmlns:x15="http://schemas.microsoft.com/office/spreadsheetml/2010/11/main" uri="{B97F6D7D-B522-45F9-BDA1-12C45D357490}">
          <x15:cacheHierarchy aggregatedColumn="2"/>
        </ext>
      </extLst>
    </cacheHierarchy>
    <cacheHierarchy uniqueName="[Measures].[Sum of الكمية]" caption="Sum of الكمية" measure="1" displayFolder="" measureGroup="Sales"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الشهور]" caption="Count of الشهور" measure="1" displayFolder="" measureGroup="Sales" count="0" hidden="1">
      <extLst>
        <ext xmlns:x15="http://schemas.microsoft.com/office/spreadsheetml/2010/11/main" uri="{B97F6D7D-B522-45F9-BDA1-12C45D357490}">
          <x15:cacheHierarchy aggregatedColumn="15"/>
        </ext>
      </extLst>
    </cacheHierarchy>
    <cacheHierarchy uniqueName="[Measures].[Count of سعر الشراء]" caption="Count of سعر الشراء" measure="1" displayFolder="" measureGroup="Sale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Sales" uniqueName="[Sales]" caption="Sales"/>
    <dimension name="Target" uniqueName="[Target]" caption="Target"/>
  </dimensions>
  <measureGroups count="2">
    <measureGroup name="Sales" caption="Sales"/>
    <measureGroup name="Target" caption="Targe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38.591813310188" backgroundQuery="1" createdVersion="8" refreshedVersion="8" minRefreshableVersion="3" recordCount="0" supportSubquery="1" supportAdvancedDrill="1" xr:uid="{8424F29C-0845-410B-87DD-5AEBD75156AA}">
  <cacheSource type="external" connectionId="3"/>
  <cacheFields count="4">
    <cacheField name="[Sales].[الشهور].[الشهور]" caption="الشهور" numFmtId="0" hierarchy="15" level="1">
      <sharedItems count="12">
        <s v="أبريل"/>
        <s v="أغسطس"/>
        <s v="أكتوبر"/>
        <s v="ديسمبر"/>
        <s v="سبتمبر"/>
        <s v="فبراير"/>
        <s v="مارس"/>
        <s v="مايو"/>
        <s v="نوفمبر"/>
        <s v="يناير"/>
        <s v="يوليو"/>
        <s v="يونية"/>
      </sharedItems>
    </cacheField>
    <cacheField name="[Sales].[اسم الصنف].[اسم الصنف]" caption="اسم الصنف" numFmtId="0" hierarchy="2" level="1">
      <sharedItems count="5">
        <s v="حليب محلى 200 (وفر 1 جنية)"/>
        <s v="حليب محلى 220 ملى سنجل"/>
        <s v="حليب مراعى 1لتر(12 علبة ) بلاستيك"/>
        <s v="حليب مراعى 1لتر(12 علبة ) كرتون"/>
        <s v="حليب مراعى لتر ونصف بلاستيك"/>
      </sharedItems>
    </cacheField>
    <cacheField name="[Measures].[Sum of سعر الشركة]" caption="Sum of سعر الشركة" numFmtId="0" hierarchy="24" level="32767"/>
    <cacheField name="[Measures].[Sum of الكمية]" caption="Sum of الكمية" numFmtId="0" hierarchy="27" level="32767"/>
  </cacheFields>
  <cacheHierarchies count="30">
    <cacheHierarchy uniqueName="[Sales].[م]" caption="م" attribute="1" defaultMemberUniqueName="[Sales].[م].[All]" allUniqueName="[Sales].[م].[All]" dimensionUniqueName="[Sales]" displayFolder="" count="0" memberValueDatatype="20" unbalanced="0"/>
    <cacheHierarchy uniqueName="[Sales].[التاريخ]" caption="التاريخ" attribute="1" time="1" defaultMemberUniqueName="[Sales].[التاريخ].[All]" allUniqueName="[Sales].[التاريخ].[All]" dimensionUniqueName="[Sales]" displayFolder="" count="0" memberValueDatatype="7" unbalanced="0"/>
    <cacheHierarchy uniqueName="[Sales].[اسم الصنف]" caption="اسم الصنف" attribute="1" defaultMemberUniqueName="[Sales].[اسم الصنف].[All]" allUniqueName="[Sales].[اسم الصنف].[All]" dimensionUniqueName="[Sales]" displayFolder="" count="2" memberValueDatatype="130" unbalanced="0">
      <fieldsUsage count="2">
        <fieldUsage x="-1"/>
        <fieldUsage x="1"/>
      </fieldsUsage>
    </cacheHierarchy>
    <cacheHierarchy uniqueName="[Sales].[سعر الشركة]" caption="سعر الشركة" attribute="1" defaultMemberUniqueName="[Sales].[سعر الشركة].[All]" allUniqueName="[Sales].[سعر الشركة].[All]" dimensionUniqueName="[Sales]" displayFolder="" count="0" memberValueDatatype="5" unbalanced="0"/>
    <cacheHierarchy uniqueName="[Sales].[الكمية]" caption="الكمية" attribute="1" defaultMemberUniqueName="[Sales].[الكمية].[All]" allUniqueName="[Sales].[الكمية].[All]" dimensionUniqueName="[Sales]" displayFolder="" count="0" memberValueDatatype="5" unbalanced="0"/>
    <cacheHierarchy uniqueName="[Sales].[سعر الشراء]" caption="سعر الشراء" attribute="1" defaultMemberUniqueName="[Sales].[سعر الشراء].[All]" allUniqueName="[Sales].[سعر الشراء].[All]" dimensionUniqueName="[Sales]" displayFolder="" count="0" memberValueDatatype="130" unbalanced="0"/>
    <cacheHierarchy uniqueName="[Sales].[سعر الوحدة]" caption="سعر الوحدة" attribute="1" defaultMemberUniqueName="[Sales].[سعر الوحدة].[All]" allUniqueName="[Sales].[سعر الوحدة].[All]" dimensionUniqueName="[Sales]" displayFolder="" count="0" memberValueDatatype="130" unbalanced="0"/>
    <cacheHierarchy uniqueName="[Sales].[قيمة خصم]" caption="قيمة خصم" attribute="1" defaultMemberUniqueName="[Sales].[قيمة خصم].[All]" allUniqueName="[Sales].[قيمة خصم].[All]" dimensionUniqueName="[Sales]" displayFolder="" count="0" memberValueDatatype="20" unbalanced="0"/>
    <cacheHierarchy uniqueName="[Sales].[السعر الصافى]" caption="السعر الصافى" attribute="1" defaultMemberUniqueName="[Sales].[السعر الصافى].[All]" allUniqueName="[Sales].[السعر الصافى].[All]" dimensionUniqueName="[Sales]" displayFolder="" count="0" memberValueDatatype="5" unbalanced="0"/>
    <cacheHierarchy uniqueName="[Sales].[التصنيف]" caption="التصنيف" attribute="1" defaultMemberUniqueName="[Sales].[التصنيف].[All]" allUniqueName="[Sales].[التصنيف].[All]" dimensionUniqueName="[Sales]" displayFolder="" count="0" memberValueDatatype="130" unbalanced="0"/>
    <cacheHierarchy uniqueName="[Sales].[نسبة العمولة]" caption="نسبة العمولة" attribute="1" defaultMemberUniqueName="[Sales].[نسبة العمولة].[All]" allUniqueName="[Sales].[نسبة العمولة].[All]" dimensionUniqueName="[Sales]" displayFolder="" count="0" memberValueDatatype="5" unbalanced="0"/>
    <cacheHierarchy uniqueName="[Sales].[العمولة]" caption="العمولة" attribute="1" defaultMemberUniqueName="[Sales].[العمولة].[All]" allUniqueName="[Sales].[العمولة].[All]" dimensionUniqueName="[Sales]" displayFolder="" count="0" memberValueDatatype="5" unbalanced="0"/>
    <cacheHierarchy uniqueName="[Sales].[سيارات]" caption="سيارات" attribute="1" defaultMemberUniqueName="[Sales].[سيارات].[All]" allUniqueName="[Sales].[سيارات].[All]" dimensionUniqueName="[Sales]" displayFolder="" count="0" memberValueDatatype="20" unbalanced="0"/>
    <cacheHierarchy uniqueName="[Sales].[حافز]" caption="حافز" attribute="1" defaultMemberUniqueName="[Sales].[حافز].[All]" allUniqueName="[Sales].[حافز].[All]" dimensionUniqueName="[Sales]" displayFolder="" count="0" memberValueDatatype="20" unbalanced="0"/>
    <cacheHierarchy uniqueName="[Sales].[اجمالى العمولة]" caption="اجمالى العمولة" attribute="1" defaultMemberUniqueName="[Sales].[اجمالى العمولة].[All]" allUniqueName="[Sales].[اجمالى العمولة].[All]" dimensionUniqueName="[Sales]" displayFolder="" count="0" memberValueDatatype="5" unbalanced="0"/>
    <cacheHierarchy uniqueName="[Sales].[الشهور]" caption="الشهور" attribute="1" defaultMemberUniqueName="[Sales].[الشهور].[All]" allUniqueName="[Sales].[الشهور].[All]" dimensionUniqueName="[Sales]" displayFolder="" count="2" memberValueDatatype="130" unbalanced="0">
      <fieldsUsage count="2">
        <fieldUsage x="-1"/>
        <fieldUsage x="0"/>
      </fieldsUsage>
    </cacheHierarchy>
    <cacheHierarchy uniqueName="[Sales].[رقم الطلبية]" caption="رقم الطلبية" attribute="1" defaultMemberUniqueName="[Sales].[رقم الطلبية].[All]" allUniqueName="[Sales].[رقم الطلبية].[All]" dimensionUniqueName="[Sales]" displayFolder="" count="0" memberValueDatatype="20" unbalanced="0"/>
    <cacheHierarchy uniqueName="[Target].[الشهور]" caption="الشهور" attribute="1" defaultMemberUniqueName="[Target].[الشهور].[All]" allUniqueName="[Target].[الشهور].[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20" unbalanced="0"/>
    <cacheHierarchy uniqueName="[Measures].[__XL_Count Sales]" caption="__XL_Count Sales" measure="1" displayFolder="" measureGroup="Sale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رقم الطلبية]" caption="Sum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Distinct Count of رقم الطلبية]" caption="Distinct Count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Sum of سعر الشركة]" caption="Sum of سعر الشركة" measure="1" displayFolder="" measureGroup="Sales"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18"/>
        </ext>
      </extLst>
    </cacheHierarchy>
    <cacheHierarchy uniqueName="[Measures].[Count of اسم الصنف]" caption="Count of اسم الصنف" measure="1" displayFolder="" measureGroup="Sales" count="0" hidden="1">
      <extLst>
        <ext xmlns:x15="http://schemas.microsoft.com/office/spreadsheetml/2010/11/main" uri="{B97F6D7D-B522-45F9-BDA1-12C45D357490}">
          <x15:cacheHierarchy aggregatedColumn="2"/>
        </ext>
      </extLst>
    </cacheHierarchy>
    <cacheHierarchy uniqueName="[Measures].[Sum of الكمية]" caption="Sum of الكمية" measure="1" displayFolder="" measureGroup="Sales" count="0" oneField="1" hidden="1">
      <fieldsUsage count="1">
        <fieldUsage x="3"/>
      </fieldsUsage>
      <extLst>
        <ext xmlns:x15="http://schemas.microsoft.com/office/spreadsheetml/2010/11/main" uri="{B97F6D7D-B522-45F9-BDA1-12C45D357490}">
          <x15:cacheHierarchy aggregatedColumn="4"/>
        </ext>
      </extLst>
    </cacheHierarchy>
    <cacheHierarchy uniqueName="[Measures].[Count of الشهور]" caption="Count of الشهور" measure="1" displayFolder="" measureGroup="Sales" count="0" hidden="1">
      <extLst>
        <ext xmlns:x15="http://schemas.microsoft.com/office/spreadsheetml/2010/11/main" uri="{B97F6D7D-B522-45F9-BDA1-12C45D357490}">
          <x15:cacheHierarchy aggregatedColumn="15"/>
        </ext>
      </extLst>
    </cacheHierarchy>
    <cacheHierarchy uniqueName="[Measures].[Count of سعر الشراء]" caption="Count of سعر الشراء" measure="1" displayFolder="" measureGroup="Sale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Sales" uniqueName="[Sales]" caption="Sales"/>
    <dimension name="Target" uniqueName="[Target]" caption="Target"/>
  </dimensions>
  <measureGroups count="2">
    <measureGroup name="Sales" caption="Sales"/>
    <measureGroup name="Target" caption="Targe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38.591813888888" backgroundQuery="1" createdVersion="8" refreshedVersion="8" minRefreshableVersion="3" recordCount="0" supportSubquery="1" supportAdvancedDrill="1" xr:uid="{21629C9C-A4A0-492D-8F92-2C3E077E5467}">
  <cacheSource type="external" connectionId="3"/>
  <cacheFields count="3">
    <cacheField name="[Sales].[الشهور].[الشهور]" caption="الشهور" numFmtId="0" hierarchy="15" level="1">
      <sharedItems count="12">
        <s v="أبريل"/>
        <s v="أغسطس"/>
        <s v="أكتوبر"/>
        <s v="ديسمبر"/>
        <s v="سبتمبر"/>
        <s v="فبراير"/>
        <s v="مارس"/>
        <s v="مايو"/>
        <s v="نوفمبر"/>
        <s v="يناير"/>
        <s v="يوليو"/>
        <s v="يونيو"/>
      </sharedItems>
    </cacheField>
    <cacheField name="[Sales].[اسم الصنف].[اسم الصنف]" caption="اسم الصنف" numFmtId="0" hierarchy="2" level="1">
      <sharedItems count="5">
        <s v="حليب محلى 200 (وفر 1 جنية)"/>
        <s v="حليب محلى 220 ملى سنجل"/>
        <s v="حليب مراعى 1لتر(12 علبة ) بلاستيك"/>
        <s v="حليب مراعى 1لتر(12 علبة ) كرتون"/>
        <s v="حليب مراعى لتر ونصف بلاستيك"/>
      </sharedItems>
    </cacheField>
    <cacheField name="[Measures].[Sum of سعر الشركة]" caption="Sum of سعر الشركة" numFmtId="0" hierarchy="24" level="32767"/>
  </cacheFields>
  <cacheHierarchies count="30">
    <cacheHierarchy uniqueName="[Sales].[م]" caption="م" attribute="1" defaultMemberUniqueName="[Sales].[م].[All]" allUniqueName="[Sales].[م].[All]" dimensionUniqueName="[Sales]" displayFolder="" count="0" memberValueDatatype="20" unbalanced="0"/>
    <cacheHierarchy uniqueName="[Sales].[التاريخ]" caption="التاريخ" attribute="1" time="1" defaultMemberUniqueName="[Sales].[التاريخ].[All]" allUniqueName="[Sales].[التاريخ].[All]" dimensionUniqueName="[Sales]" displayFolder="" count="0" memberValueDatatype="7" unbalanced="0"/>
    <cacheHierarchy uniqueName="[Sales].[اسم الصنف]" caption="اسم الصنف" attribute="1" defaultMemberUniqueName="[Sales].[اسم الصنف].[All]" allUniqueName="[Sales].[اسم الصنف].[All]" dimensionUniqueName="[Sales]" displayFolder="" count="2" memberValueDatatype="130" unbalanced="0">
      <fieldsUsage count="2">
        <fieldUsage x="-1"/>
        <fieldUsage x="1"/>
      </fieldsUsage>
    </cacheHierarchy>
    <cacheHierarchy uniqueName="[Sales].[سعر الشركة]" caption="سعر الشركة" attribute="1" defaultMemberUniqueName="[Sales].[سعر الشركة].[All]" allUniqueName="[Sales].[سعر الشركة].[All]" dimensionUniqueName="[Sales]" displayFolder="" count="0" memberValueDatatype="5" unbalanced="0"/>
    <cacheHierarchy uniqueName="[Sales].[الكمية]" caption="الكمية" attribute="1" defaultMemberUniqueName="[Sales].[الكمية].[All]" allUniqueName="[Sales].[الكمية].[All]" dimensionUniqueName="[Sales]" displayFolder="" count="0" memberValueDatatype="5" unbalanced="0"/>
    <cacheHierarchy uniqueName="[Sales].[سعر الشراء]" caption="سعر الشراء" attribute="1" defaultMemberUniqueName="[Sales].[سعر الشراء].[All]" allUniqueName="[Sales].[سعر الشراء].[All]" dimensionUniqueName="[Sales]" displayFolder="" count="0" memberValueDatatype="130" unbalanced="0"/>
    <cacheHierarchy uniqueName="[Sales].[سعر الوحدة]" caption="سعر الوحدة" attribute="1" defaultMemberUniqueName="[Sales].[سعر الوحدة].[All]" allUniqueName="[Sales].[سعر الوحدة].[All]" dimensionUniqueName="[Sales]" displayFolder="" count="0" memberValueDatatype="130" unbalanced="0"/>
    <cacheHierarchy uniqueName="[Sales].[قيمة خصم]" caption="قيمة خصم" attribute="1" defaultMemberUniqueName="[Sales].[قيمة خصم].[All]" allUniqueName="[Sales].[قيمة خصم].[All]" dimensionUniqueName="[Sales]" displayFolder="" count="0" memberValueDatatype="20" unbalanced="0"/>
    <cacheHierarchy uniqueName="[Sales].[السعر الصافى]" caption="السعر الصافى" attribute="1" defaultMemberUniqueName="[Sales].[السعر الصافى].[All]" allUniqueName="[Sales].[السعر الصافى].[All]" dimensionUniqueName="[Sales]" displayFolder="" count="0" memberValueDatatype="5" unbalanced="0"/>
    <cacheHierarchy uniqueName="[Sales].[التصنيف]" caption="التصنيف" attribute="1" defaultMemberUniqueName="[Sales].[التصنيف].[All]" allUniqueName="[Sales].[التصنيف].[All]" dimensionUniqueName="[Sales]" displayFolder="" count="0" memberValueDatatype="130" unbalanced="0"/>
    <cacheHierarchy uniqueName="[Sales].[نسبة العمولة]" caption="نسبة العمولة" attribute="1" defaultMemberUniqueName="[Sales].[نسبة العمولة].[All]" allUniqueName="[Sales].[نسبة العمولة].[All]" dimensionUniqueName="[Sales]" displayFolder="" count="0" memberValueDatatype="5" unbalanced="0"/>
    <cacheHierarchy uniqueName="[Sales].[العمولة]" caption="العمولة" attribute="1" defaultMemberUniqueName="[Sales].[العمولة].[All]" allUniqueName="[Sales].[العمولة].[All]" dimensionUniqueName="[Sales]" displayFolder="" count="0" memberValueDatatype="5" unbalanced="0"/>
    <cacheHierarchy uniqueName="[Sales].[سيارات]" caption="سيارات" attribute="1" defaultMemberUniqueName="[Sales].[سيارات].[All]" allUniqueName="[Sales].[سيارات].[All]" dimensionUniqueName="[Sales]" displayFolder="" count="0" memberValueDatatype="20" unbalanced="0"/>
    <cacheHierarchy uniqueName="[Sales].[حافز]" caption="حافز" attribute="1" defaultMemberUniqueName="[Sales].[حافز].[All]" allUniqueName="[Sales].[حافز].[All]" dimensionUniqueName="[Sales]" displayFolder="" count="0" memberValueDatatype="20" unbalanced="0"/>
    <cacheHierarchy uniqueName="[Sales].[اجمالى العمولة]" caption="اجمالى العمولة" attribute="1" defaultMemberUniqueName="[Sales].[اجمالى العمولة].[All]" allUniqueName="[Sales].[اجمالى العمولة].[All]" dimensionUniqueName="[Sales]" displayFolder="" count="0" memberValueDatatype="5" unbalanced="0"/>
    <cacheHierarchy uniqueName="[Sales].[الشهور]" caption="الشهور" attribute="1" defaultMemberUniqueName="[Sales].[الشهور].[All]" allUniqueName="[Sales].[الشهور].[All]" dimensionUniqueName="[Sales]" displayFolder="" count="2" memberValueDatatype="130" unbalanced="0">
      <fieldsUsage count="2">
        <fieldUsage x="-1"/>
        <fieldUsage x="0"/>
      </fieldsUsage>
    </cacheHierarchy>
    <cacheHierarchy uniqueName="[Sales].[رقم الطلبية]" caption="رقم الطلبية" attribute="1" defaultMemberUniqueName="[Sales].[رقم الطلبية].[All]" allUniqueName="[Sales].[رقم الطلبية].[All]" dimensionUniqueName="[Sales]" displayFolder="" count="0" memberValueDatatype="20" unbalanced="0"/>
    <cacheHierarchy uniqueName="[Target].[الشهور]" caption="الشهور" attribute="1" defaultMemberUniqueName="[Target].[الشهور].[All]" allUniqueName="[Target].[الشهور].[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20" unbalanced="0"/>
    <cacheHierarchy uniqueName="[Measures].[__XL_Count Sales]" caption="__XL_Count Sales" measure="1" displayFolder="" measureGroup="Sale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رقم الطلبية]" caption="Sum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Distinct Count of رقم الطلبية]" caption="Distinct Count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Sum of سعر الشركة]" caption="Sum of سعر الشركة" measure="1" displayFolder="" measureGroup="Sales" count="0" oneField="1" hidden="1">
      <fieldsUsage count="1">
        <fieldUsage x="2"/>
      </fieldsUsage>
      <extLst>
        <ext xmlns:x15="http://schemas.microsoft.com/office/spreadsheetml/2010/11/main" uri="{B97F6D7D-B522-45F9-BDA1-12C45D357490}">
          <x15:cacheHierarchy aggregatedColumn="3"/>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18"/>
        </ext>
      </extLst>
    </cacheHierarchy>
    <cacheHierarchy uniqueName="[Measures].[Count of اسم الصنف]" caption="Count of اسم الصنف" measure="1" displayFolder="" measureGroup="Sales" count="0" hidden="1">
      <extLst>
        <ext xmlns:x15="http://schemas.microsoft.com/office/spreadsheetml/2010/11/main" uri="{B97F6D7D-B522-45F9-BDA1-12C45D357490}">
          <x15:cacheHierarchy aggregatedColumn="2"/>
        </ext>
      </extLst>
    </cacheHierarchy>
    <cacheHierarchy uniqueName="[Measures].[Sum of الكمية]" caption="Sum of الكمية" measure="1" displayFolder="" measureGroup="Sales" count="0" hidden="1">
      <extLst>
        <ext xmlns:x15="http://schemas.microsoft.com/office/spreadsheetml/2010/11/main" uri="{B97F6D7D-B522-45F9-BDA1-12C45D357490}">
          <x15:cacheHierarchy aggregatedColumn="4"/>
        </ext>
      </extLst>
    </cacheHierarchy>
    <cacheHierarchy uniqueName="[Measures].[Count of الشهور]" caption="Count of الشهور" measure="1" displayFolder="" measureGroup="Sales" count="0" hidden="1">
      <extLst>
        <ext xmlns:x15="http://schemas.microsoft.com/office/spreadsheetml/2010/11/main" uri="{B97F6D7D-B522-45F9-BDA1-12C45D357490}">
          <x15:cacheHierarchy aggregatedColumn="15"/>
        </ext>
      </extLst>
    </cacheHierarchy>
    <cacheHierarchy uniqueName="[Measures].[Count of سعر الشراء]" caption="Count of سعر الشراء" measure="1" displayFolder="" measureGroup="Sale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Sales" uniqueName="[Sales]" caption="Sales"/>
    <dimension name="Target" uniqueName="[Target]" caption="Target"/>
  </dimensions>
  <measureGroups count="2">
    <measureGroup name="Sales" caption="Sales"/>
    <measureGroup name="Target" caption="Targe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38.591814236112" backgroundQuery="1" createdVersion="8" refreshedVersion="8" minRefreshableVersion="3" recordCount="0" supportSubquery="1" supportAdvancedDrill="1" xr:uid="{90554D26-B664-48DD-869C-47676DE10592}">
  <cacheSource type="external" connectionId="3"/>
  <cacheFields count="2">
    <cacheField name="[Measures].[Sum of سعر الشركة]" caption="Sum of سعر الشركة" numFmtId="0" hierarchy="24" level="32767"/>
    <cacheField name="[Sales].[الشهور].[الشهور]" caption="الشهور" numFmtId="0" hierarchy="15" level="1">
      <sharedItems containsSemiMixedTypes="0" containsNonDate="0" containsString="0"/>
    </cacheField>
  </cacheFields>
  <cacheHierarchies count="30">
    <cacheHierarchy uniqueName="[Sales].[م]" caption="م" attribute="1" defaultMemberUniqueName="[Sales].[م].[All]" allUniqueName="[Sales].[م].[All]" dimensionUniqueName="[Sales]" displayFolder="" count="0" memberValueDatatype="20" unbalanced="0"/>
    <cacheHierarchy uniqueName="[Sales].[التاريخ]" caption="التاريخ" attribute="1" time="1" defaultMemberUniqueName="[Sales].[التاريخ].[All]" allUniqueName="[Sales].[التاريخ].[All]" dimensionUniqueName="[Sales]" displayFolder="" count="0" memberValueDatatype="7" unbalanced="0"/>
    <cacheHierarchy uniqueName="[Sales].[اسم الصنف]" caption="اسم الصنف" attribute="1" defaultMemberUniqueName="[Sales].[اسم الصنف].[All]" allUniqueName="[Sales].[اسم الصنف].[All]" dimensionUniqueName="[Sales]" displayFolder="" count="0" memberValueDatatype="130" unbalanced="0"/>
    <cacheHierarchy uniqueName="[Sales].[سعر الشركة]" caption="سعر الشركة" attribute="1" defaultMemberUniqueName="[Sales].[سعر الشركة].[All]" allUniqueName="[Sales].[سعر الشركة].[All]" dimensionUniqueName="[Sales]" displayFolder="" count="0" memberValueDatatype="5" unbalanced="0"/>
    <cacheHierarchy uniqueName="[Sales].[الكمية]" caption="الكمية" attribute="1" defaultMemberUniqueName="[Sales].[الكمية].[All]" allUniqueName="[Sales].[الكمية].[All]" dimensionUniqueName="[Sales]" displayFolder="" count="0" memberValueDatatype="5" unbalanced="0"/>
    <cacheHierarchy uniqueName="[Sales].[سعر الشراء]" caption="سعر الشراء" attribute="1" defaultMemberUniqueName="[Sales].[سعر الشراء].[All]" allUniqueName="[Sales].[سعر الشراء].[All]" dimensionUniqueName="[Sales]" displayFolder="" count="0" memberValueDatatype="130" unbalanced="0"/>
    <cacheHierarchy uniqueName="[Sales].[سعر الوحدة]" caption="سعر الوحدة" attribute="1" defaultMemberUniqueName="[Sales].[سعر الوحدة].[All]" allUniqueName="[Sales].[سعر الوحدة].[All]" dimensionUniqueName="[Sales]" displayFolder="" count="0" memberValueDatatype="130" unbalanced="0"/>
    <cacheHierarchy uniqueName="[Sales].[قيمة خصم]" caption="قيمة خصم" attribute="1" defaultMemberUniqueName="[Sales].[قيمة خصم].[All]" allUniqueName="[Sales].[قيمة خصم].[All]" dimensionUniqueName="[Sales]" displayFolder="" count="0" memberValueDatatype="20" unbalanced="0"/>
    <cacheHierarchy uniqueName="[Sales].[السعر الصافى]" caption="السعر الصافى" attribute="1" defaultMemberUniqueName="[Sales].[السعر الصافى].[All]" allUniqueName="[Sales].[السعر الصافى].[All]" dimensionUniqueName="[Sales]" displayFolder="" count="0" memberValueDatatype="5" unbalanced="0"/>
    <cacheHierarchy uniqueName="[Sales].[التصنيف]" caption="التصنيف" attribute="1" defaultMemberUniqueName="[Sales].[التصنيف].[All]" allUniqueName="[Sales].[التصنيف].[All]" dimensionUniqueName="[Sales]" displayFolder="" count="0" memberValueDatatype="130" unbalanced="0"/>
    <cacheHierarchy uniqueName="[Sales].[نسبة العمولة]" caption="نسبة العمولة" attribute="1" defaultMemberUniqueName="[Sales].[نسبة العمولة].[All]" allUniqueName="[Sales].[نسبة العمولة].[All]" dimensionUniqueName="[Sales]" displayFolder="" count="0" memberValueDatatype="5" unbalanced="0"/>
    <cacheHierarchy uniqueName="[Sales].[العمولة]" caption="العمولة" attribute="1" defaultMemberUniqueName="[Sales].[العمولة].[All]" allUniqueName="[Sales].[العمولة].[All]" dimensionUniqueName="[Sales]" displayFolder="" count="0" memberValueDatatype="5" unbalanced="0"/>
    <cacheHierarchy uniqueName="[Sales].[سيارات]" caption="سيارات" attribute="1" defaultMemberUniqueName="[Sales].[سيارات].[All]" allUniqueName="[Sales].[سيارات].[All]" dimensionUniqueName="[Sales]" displayFolder="" count="0" memberValueDatatype="20" unbalanced="0"/>
    <cacheHierarchy uniqueName="[Sales].[حافز]" caption="حافز" attribute="1" defaultMemberUniqueName="[Sales].[حافز].[All]" allUniqueName="[Sales].[حافز].[All]" dimensionUniqueName="[Sales]" displayFolder="" count="0" memberValueDatatype="20" unbalanced="0"/>
    <cacheHierarchy uniqueName="[Sales].[اجمالى العمولة]" caption="اجمالى العمولة" attribute="1" defaultMemberUniqueName="[Sales].[اجمالى العمولة].[All]" allUniqueName="[Sales].[اجمالى العمولة].[All]" dimensionUniqueName="[Sales]" displayFolder="" count="0" memberValueDatatype="5" unbalanced="0"/>
    <cacheHierarchy uniqueName="[Sales].[الشهور]" caption="الشهور" attribute="1" defaultMemberUniqueName="[Sales].[الشهور].[All]" allUniqueName="[Sales].[الشهور].[All]" dimensionUniqueName="[Sales]" displayFolder="" count="2" memberValueDatatype="130" unbalanced="0">
      <fieldsUsage count="2">
        <fieldUsage x="-1"/>
        <fieldUsage x="1"/>
      </fieldsUsage>
    </cacheHierarchy>
    <cacheHierarchy uniqueName="[Sales].[رقم الطلبية]" caption="رقم الطلبية" attribute="1" defaultMemberUniqueName="[Sales].[رقم الطلبية].[All]" allUniqueName="[Sales].[رقم الطلبية].[All]" dimensionUniqueName="[Sales]" displayFolder="" count="0" memberValueDatatype="20" unbalanced="0"/>
    <cacheHierarchy uniqueName="[Target].[الشهور]" caption="الشهور" attribute="1" defaultMemberUniqueName="[Target].[الشهور].[All]" allUniqueName="[Target].[الشهور].[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20" unbalanced="0"/>
    <cacheHierarchy uniqueName="[Measures].[__XL_Count Sales]" caption="__XL_Count Sales" measure="1" displayFolder="" measureGroup="Sale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رقم الطلبية]" caption="Sum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Distinct Count of رقم الطلبية]" caption="Distinct Count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Sum of سعر الشركة]" caption="Sum of سعر الشركة" measure="1" displayFolder="" measureGroup="Sales" count="0" oneField="1" hidden="1">
      <fieldsUsage count="1">
        <fieldUsage x="0"/>
      </fieldsUsage>
      <extLst>
        <ext xmlns:x15="http://schemas.microsoft.com/office/spreadsheetml/2010/11/main" uri="{B97F6D7D-B522-45F9-BDA1-12C45D357490}">
          <x15:cacheHierarchy aggregatedColumn="3"/>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18"/>
        </ext>
      </extLst>
    </cacheHierarchy>
    <cacheHierarchy uniqueName="[Measures].[Count of اسم الصنف]" caption="Count of اسم الصنف" measure="1" displayFolder="" measureGroup="Sales" count="0" hidden="1">
      <extLst>
        <ext xmlns:x15="http://schemas.microsoft.com/office/spreadsheetml/2010/11/main" uri="{B97F6D7D-B522-45F9-BDA1-12C45D357490}">
          <x15:cacheHierarchy aggregatedColumn="2"/>
        </ext>
      </extLst>
    </cacheHierarchy>
    <cacheHierarchy uniqueName="[Measures].[Sum of الكمية]" caption="Sum of الكمية" measure="1" displayFolder="" measureGroup="Sales" count="0" hidden="1">
      <extLst>
        <ext xmlns:x15="http://schemas.microsoft.com/office/spreadsheetml/2010/11/main" uri="{B97F6D7D-B522-45F9-BDA1-12C45D357490}">
          <x15:cacheHierarchy aggregatedColumn="4"/>
        </ext>
      </extLst>
    </cacheHierarchy>
    <cacheHierarchy uniqueName="[Measures].[Count of الشهور]" caption="Count of الشهور" measure="1" displayFolder="" measureGroup="Sales" count="0" hidden="1">
      <extLst>
        <ext xmlns:x15="http://schemas.microsoft.com/office/spreadsheetml/2010/11/main" uri="{B97F6D7D-B522-45F9-BDA1-12C45D357490}">
          <x15:cacheHierarchy aggregatedColumn="15"/>
        </ext>
      </extLst>
    </cacheHierarchy>
    <cacheHierarchy uniqueName="[Measures].[Count of سعر الشراء]" caption="Count of سعر الشراء" measure="1" displayFolder="" measureGroup="Sale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Sales" uniqueName="[Sales]" caption="Sales"/>
    <dimension name="Target" uniqueName="[Target]" caption="Target"/>
  </dimensions>
  <measureGroups count="2">
    <measureGroup name="Sales" caption="Sales"/>
    <measureGroup name="Target" caption="Targe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38.591814467596" backgroundQuery="1" createdVersion="8" refreshedVersion="8" minRefreshableVersion="3" recordCount="0" supportSubquery="1" supportAdvancedDrill="1" xr:uid="{60E5CB65-3749-47E3-A90E-9FE6A5235AF8}">
  <cacheSource type="external" connectionId="3"/>
  <cacheFields count="2">
    <cacheField name="[Measures].[Sum of Target]" caption="Sum of Target" numFmtId="0" hierarchy="25" level="32767"/>
    <cacheField name="[Sales].[الشهور].[الشهور]" caption="الشهور" numFmtId="0" hierarchy="15" level="1">
      <sharedItems containsSemiMixedTypes="0" containsNonDate="0" containsString="0"/>
    </cacheField>
  </cacheFields>
  <cacheHierarchies count="30">
    <cacheHierarchy uniqueName="[Sales].[م]" caption="م" attribute="1" defaultMemberUniqueName="[Sales].[م].[All]" allUniqueName="[Sales].[م].[All]" dimensionUniqueName="[Sales]" displayFolder="" count="0" memberValueDatatype="20" unbalanced="0"/>
    <cacheHierarchy uniqueName="[Sales].[التاريخ]" caption="التاريخ" attribute="1" time="1" defaultMemberUniqueName="[Sales].[التاريخ].[All]" allUniqueName="[Sales].[التاريخ].[All]" dimensionUniqueName="[Sales]" displayFolder="" count="0" memberValueDatatype="7" unbalanced="0"/>
    <cacheHierarchy uniqueName="[Sales].[اسم الصنف]" caption="اسم الصنف" attribute="1" defaultMemberUniqueName="[Sales].[اسم الصنف].[All]" allUniqueName="[Sales].[اسم الصنف].[All]" dimensionUniqueName="[Sales]" displayFolder="" count="0" memberValueDatatype="130" unbalanced="0"/>
    <cacheHierarchy uniqueName="[Sales].[سعر الشركة]" caption="سعر الشركة" attribute="1" defaultMemberUniqueName="[Sales].[سعر الشركة].[All]" allUniqueName="[Sales].[سعر الشركة].[All]" dimensionUniqueName="[Sales]" displayFolder="" count="0" memberValueDatatype="5" unbalanced="0"/>
    <cacheHierarchy uniqueName="[Sales].[الكمية]" caption="الكمية" attribute="1" defaultMemberUniqueName="[Sales].[الكمية].[All]" allUniqueName="[Sales].[الكمية].[All]" dimensionUniqueName="[Sales]" displayFolder="" count="0" memberValueDatatype="5" unbalanced="0"/>
    <cacheHierarchy uniqueName="[Sales].[سعر الشراء]" caption="سعر الشراء" attribute="1" defaultMemberUniqueName="[Sales].[سعر الشراء].[All]" allUniqueName="[Sales].[سعر الشراء].[All]" dimensionUniqueName="[Sales]" displayFolder="" count="0" memberValueDatatype="130" unbalanced="0"/>
    <cacheHierarchy uniqueName="[Sales].[سعر الوحدة]" caption="سعر الوحدة" attribute="1" defaultMemberUniqueName="[Sales].[سعر الوحدة].[All]" allUniqueName="[Sales].[سعر الوحدة].[All]" dimensionUniqueName="[Sales]" displayFolder="" count="0" memberValueDatatype="130" unbalanced="0"/>
    <cacheHierarchy uniqueName="[Sales].[قيمة خصم]" caption="قيمة خصم" attribute="1" defaultMemberUniqueName="[Sales].[قيمة خصم].[All]" allUniqueName="[Sales].[قيمة خصم].[All]" dimensionUniqueName="[Sales]" displayFolder="" count="0" memberValueDatatype="20" unbalanced="0"/>
    <cacheHierarchy uniqueName="[Sales].[السعر الصافى]" caption="السعر الصافى" attribute="1" defaultMemberUniqueName="[Sales].[السعر الصافى].[All]" allUniqueName="[Sales].[السعر الصافى].[All]" dimensionUniqueName="[Sales]" displayFolder="" count="0" memberValueDatatype="5" unbalanced="0"/>
    <cacheHierarchy uniqueName="[Sales].[التصنيف]" caption="التصنيف" attribute="1" defaultMemberUniqueName="[Sales].[التصنيف].[All]" allUniqueName="[Sales].[التصنيف].[All]" dimensionUniqueName="[Sales]" displayFolder="" count="0" memberValueDatatype="130" unbalanced="0"/>
    <cacheHierarchy uniqueName="[Sales].[نسبة العمولة]" caption="نسبة العمولة" attribute="1" defaultMemberUniqueName="[Sales].[نسبة العمولة].[All]" allUniqueName="[Sales].[نسبة العمولة].[All]" dimensionUniqueName="[Sales]" displayFolder="" count="0" memberValueDatatype="5" unbalanced="0"/>
    <cacheHierarchy uniqueName="[Sales].[العمولة]" caption="العمولة" attribute="1" defaultMemberUniqueName="[Sales].[العمولة].[All]" allUniqueName="[Sales].[العمولة].[All]" dimensionUniqueName="[Sales]" displayFolder="" count="0" memberValueDatatype="5" unbalanced="0"/>
    <cacheHierarchy uniqueName="[Sales].[سيارات]" caption="سيارات" attribute="1" defaultMemberUniqueName="[Sales].[سيارات].[All]" allUniqueName="[Sales].[سيارات].[All]" dimensionUniqueName="[Sales]" displayFolder="" count="0" memberValueDatatype="20" unbalanced="0"/>
    <cacheHierarchy uniqueName="[Sales].[حافز]" caption="حافز" attribute="1" defaultMemberUniqueName="[Sales].[حافز].[All]" allUniqueName="[Sales].[حافز].[All]" dimensionUniqueName="[Sales]" displayFolder="" count="0" memberValueDatatype="20" unbalanced="0"/>
    <cacheHierarchy uniqueName="[Sales].[اجمالى العمولة]" caption="اجمالى العمولة" attribute="1" defaultMemberUniqueName="[Sales].[اجمالى العمولة].[All]" allUniqueName="[Sales].[اجمالى العمولة].[All]" dimensionUniqueName="[Sales]" displayFolder="" count="0" memberValueDatatype="5" unbalanced="0"/>
    <cacheHierarchy uniqueName="[Sales].[الشهور]" caption="الشهور" attribute="1" defaultMemberUniqueName="[Sales].[الشهور].[All]" allUniqueName="[Sales].[الشهور].[All]" dimensionUniqueName="[Sales]" displayFolder="" count="2" memberValueDatatype="130" unbalanced="0">
      <fieldsUsage count="2">
        <fieldUsage x="-1"/>
        <fieldUsage x="1"/>
      </fieldsUsage>
    </cacheHierarchy>
    <cacheHierarchy uniqueName="[Sales].[رقم الطلبية]" caption="رقم الطلبية" attribute="1" defaultMemberUniqueName="[Sales].[رقم الطلبية].[All]" allUniqueName="[Sales].[رقم الطلبية].[All]" dimensionUniqueName="[Sales]" displayFolder="" count="0" memberValueDatatype="20" unbalanced="0"/>
    <cacheHierarchy uniqueName="[Target].[الشهور]" caption="الشهور" attribute="1" defaultMemberUniqueName="[Target].[الشهور].[All]" allUniqueName="[Target].[الشهور].[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20" unbalanced="0"/>
    <cacheHierarchy uniqueName="[Measures].[__XL_Count Sales]" caption="__XL_Count Sales" measure="1" displayFolder="" measureGroup="Sale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رقم الطلبية]" caption="Sum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Distinct Count of رقم الطلبية]" caption="Distinct Count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Sum of سعر الشركة]" caption="Sum of سعر الشركة" measure="1" displayFolder="" measureGroup="Sales" count="0" hidden="1">
      <extLst>
        <ext xmlns:x15="http://schemas.microsoft.com/office/spreadsheetml/2010/11/main" uri="{B97F6D7D-B522-45F9-BDA1-12C45D357490}">
          <x15:cacheHierarchy aggregatedColumn="3"/>
        </ext>
      </extLst>
    </cacheHierarchy>
    <cacheHierarchy uniqueName="[Measures].[Sum of Target]" caption="Sum of Target" measure="1" displayFolder="" measureGroup="Target" count="0" oneField="1" hidden="1">
      <fieldsUsage count="1">
        <fieldUsage x="0"/>
      </fieldsUsage>
      <extLst>
        <ext xmlns:x15="http://schemas.microsoft.com/office/spreadsheetml/2010/11/main" uri="{B97F6D7D-B522-45F9-BDA1-12C45D357490}">
          <x15:cacheHierarchy aggregatedColumn="18"/>
        </ext>
      </extLst>
    </cacheHierarchy>
    <cacheHierarchy uniqueName="[Measures].[Count of اسم الصنف]" caption="Count of اسم الصنف" measure="1" displayFolder="" measureGroup="Sales" count="0" hidden="1">
      <extLst>
        <ext xmlns:x15="http://schemas.microsoft.com/office/spreadsheetml/2010/11/main" uri="{B97F6D7D-B522-45F9-BDA1-12C45D357490}">
          <x15:cacheHierarchy aggregatedColumn="2"/>
        </ext>
      </extLst>
    </cacheHierarchy>
    <cacheHierarchy uniqueName="[Measures].[Sum of الكمية]" caption="Sum of الكمية" measure="1" displayFolder="" measureGroup="Sales" count="0" hidden="1">
      <extLst>
        <ext xmlns:x15="http://schemas.microsoft.com/office/spreadsheetml/2010/11/main" uri="{B97F6D7D-B522-45F9-BDA1-12C45D357490}">
          <x15:cacheHierarchy aggregatedColumn="4"/>
        </ext>
      </extLst>
    </cacheHierarchy>
    <cacheHierarchy uniqueName="[Measures].[Count of الشهور]" caption="Count of الشهور" measure="1" displayFolder="" measureGroup="Sales" count="0" hidden="1">
      <extLst>
        <ext xmlns:x15="http://schemas.microsoft.com/office/spreadsheetml/2010/11/main" uri="{B97F6D7D-B522-45F9-BDA1-12C45D357490}">
          <x15:cacheHierarchy aggregatedColumn="15"/>
        </ext>
      </extLst>
    </cacheHierarchy>
    <cacheHierarchy uniqueName="[Measures].[Count of سعر الشراء]" caption="Count of سعر الشراء" measure="1" displayFolder="" measureGroup="Sale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Sales" uniqueName="[Sales]" caption="Sales"/>
    <dimension name="Target" uniqueName="[Target]" caption="Target"/>
  </dimensions>
  <measureGroups count="2">
    <measureGroup name="Sales" caption="Sales"/>
    <measureGroup name="Target" caption="Targe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38.591814699073" backgroundQuery="1" createdVersion="8" refreshedVersion="8" minRefreshableVersion="3" recordCount="0" supportSubquery="1" supportAdvancedDrill="1" xr:uid="{81A69E2B-74EF-4A87-9E97-6CE8E750A2E6}">
  <cacheSource type="external" connectionId="3"/>
  <cacheFields count="3">
    <cacheField name="[Sales].[التصنيف].[التصنيف]" caption="التصنيف" numFmtId="0" hierarchy="9" level="1">
      <sharedItems count="1">
        <s v="عصير"/>
      </sharedItems>
    </cacheField>
    <cacheField name="[Measures].[Sum of سعر الشركة]" caption="Sum of سعر الشركة" numFmtId="0" hierarchy="24" level="32767"/>
    <cacheField name="[Sales].[الشهور].[الشهور]" caption="الشهور" numFmtId="0" hierarchy="15" level="1">
      <sharedItems containsSemiMixedTypes="0" containsNonDate="0" containsString="0"/>
    </cacheField>
  </cacheFields>
  <cacheHierarchies count="30">
    <cacheHierarchy uniqueName="[Sales].[م]" caption="م" attribute="1" defaultMemberUniqueName="[Sales].[م].[All]" allUniqueName="[Sales].[م].[All]" dimensionUniqueName="[Sales]" displayFolder="" count="0" memberValueDatatype="20" unbalanced="0"/>
    <cacheHierarchy uniqueName="[Sales].[التاريخ]" caption="التاريخ" attribute="1" time="1" defaultMemberUniqueName="[Sales].[التاريخ].[All]" allUniqueName="[Sales].[التاريخ].[All]" dimensionUniqueName="[Sales]" displayFolder="" count="0" memberValueDatatype="7" unbalanced="0"/>
    <cacheHierarchy uniqueName="[Sales].[اسم الصنف]" caption="اسم الصنف" attribute="1" defaultMemberUniqueName="[Sales].[اسم الصنف].[All]" allUniqueName="[Sales].[اسم الصنف].[All]" dimensionUniqueName="[Sales]" displayFolder="" count="0" memberValueDatatype="130" unbalanced="0"/>
    <cacheHierarchy uniqueName="[Sales].[سعر الشركة]" caption="سعر الشركة" attribute="1" defaultMemberUniqueName="[Sales].[سعر الشركة].[All]" allUniqueName="[Sales].[سعر الشركة].[All]" dimensionUniqueName="[Sales]" displayFolder="" count="0" memberValueDatatype="5" unbalanced="0"/>
    <cacheHierarchy uniqueName="[Sales].[الكمية]" caption="الكمية" attribute="1" defaultMemberUniqueName="[Sales].[الكمية].[All]" allUniqueName="[Sales].[الكمية].[All]" dimensionUniqueName="[Sales]" displayFolder="" count="0" memberValueDatatype="5" unbalanced="0"/>
    <cacheHierarchy uniqueName="[Sales].[سعر الشراء]" caption="سعر الشراء" attribute="1" defaultMemberUniqueName="[Sales].[سعر الشراء].[All]" allUniqueName="[Sales].[سعر الشراء].[All]" dimensionUniqueName="[Sales]" displayFolder="" count="0" memberValueDatatype="130" unbalanced="0"/>
    <cacheHierarchy uniqueName="[Sales].[سعر الوحدة]" caption="سعر الوحدة" attribute="1" defaultMemberUniqueName="[Sales].[سعر الوحدة].[All]" allUniqueName="[Sales].[سعر الوحدة].[All]" dimensionUniqueName="[Sales]" displayFolder="" count="0" memberValueDatatype="130" unbalanced="0"/>
    <cacheHierarchy uniqueName="[Sales].[قيمة خصم]" caption="قيمة خصم" attribute="1" defaultMemberUniqueName="[Sales].[قيمة خصم].[All]" allUniqueName="[Sales].[قيمة خصم].[All]" dimensionUniqueName="[Sales]" displayFolder="" count="0" memberValueDatatype="20" unbalanced="0"/>
    <cacheHierarchy uniqueName="[Sales].[السعر الصافى]" caption="السعر الصافى" attribute="1" defaultMemberUniqueName="[Sales].[السعر الصافى].[All]" allUniqueName="[Sales].[السعر الصافى].[All]" dimensionUniqueName="[Sales]" displayFolder="" count="0" memberValueDatatype="5" unbalanced="0"/>
    <cacheHierarchy uniqueName="[Sales].[التصنيف]" caption="التصنيف" attribute="1" defaultMemberUniqueName="[Sales].[التصنيف].[All]" allUniqueName="[Sales].[التصنيف].[All]" dimensionUniqueName="[Sales]" displayFolder="" count="2" memberValueDatatype="130" unbalanced="0">
      <fieldsUsage count="2">
        <fieldUsage x="-1"/>
        <fieldUsage x="0"/>
      </fieldsUsage>
    </cacheHierarchy>
    <cacheHierarchy uniqueName="[Sales].[نسبة العمولة]" caption="نسبة العمولة" attribute="1" defaultMemberUniqueName="[Sales].[نسبة العمولة].[All]" allUniqueName="[Sales].[نسبة العمولة].[All]" dimensionUniqueName="[Sales]" displayFolder="" count="0" memberValueDatatype="5" unbalanced="0"/>
    <cacheHierarchy uniqueName="[Sales].[العمولة]" caption="العمولة" attribute="1" defaultMemberUniqueName="[Sales].[العمولة].[All]" allUniqueName="[Sales].[العمولة].[All]" dimensionUniqueName="[Sales]" displayFolder="" count="0" memberValueDatatype="5" unbalanced="0"/>
    <cacheHierarchy uniqueName="[Sales].[سيارات]" caption="سيارات" attribute="1" defaultMemberUniqueName="[Sales].[سيارات].[All]" allUniqueName="[Sales].[سيارات].[All]" dimensionUniqueName="[Sales]" displayFolder="" count="0" memberValueDatatype="20" unbalanced="0"/>
    <cacheHierarchy uniqueName="[Sales].[حافز]" caption="حافز" attribute="1" defaultMemberUniqueName="[Sales].[حافز].[All]" allUniqueName="[Sales].[حافز].[All]" dimensionUniqueName="[Sales]" displayFolder="" count="0" memberValueDatatype="20" unbalanced="0"/>
    <cacheHierarchy uniqueName="[Sales].[اجمالى العمولة]" caption="اجمالى العمولة" attribute="1" defaultMemberUniqueName="[Sales].[اجمالى العمولة].[All]" allUniqueName="[Sales].[اجمالى العمولة].[All]" dimensionUniqueName="[Sales]" displayFolder="" count="0" memberValueDatatype="5" unbalanced="0"/>
    <cacheHierarchy uniqueName="[Sales].[الشهور]" caption="الشهور" attribute="1" defaultMemberUniqueName="[Sales].[الشهور].[All]" allUniqueName="[Sales].[الشهور].[All]" dimensionUniqueName="[Sales]" displayFolder="" count="2" memberValueDatatype="130" unbalanced="0">
      <fieldsUsage count="2">
        <fieldUsage x="-1"/>
        <fieldUsage x="2"/>
      </fieldsUsage>
    </cacheHierarchy>
    <cacheHierarchy uniqueName="[Sales].[رقم الطلبية]" caption="رقم الطلبية" attribute="1" defaultMemberUniqueName="[Sales].[رقم الطلبية].[All]" allUniqueName="[Sales].[رقم الطلبية].[All]" dimensionUniqueName="[Sales]" displayFolder="" count="0" memberValueDatatype="20" unbalanced="0"/>
    <cacheHierarchy uniqueName="[Target].[الشهور]" caption="الشهور" attribute="1" defaultMemberUniqueName="[Target].[الشهور].[All]" allUniqueName="[Target].[الشهور].[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20" unbalanced="0"/>
    <cacheHierarchy uniqueName="[Measures].[__XL_Count Sales]" caption="__XL_Count Sales" measure="1" displayFolder="" measureGroup="Sale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رقم الطلبية]" caption="Sum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Distinct Count of رقم الطلبية]" caption="Distinct Count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Sum of سعر الشركة]" caption="Sum of سعر الشركة" measure="1" displayFolder="" measureGroup="Sales"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18"/>
        </ext>
      </extLst>
    </cacheHierarchy>
    <cacheHierarchy uniqueName="[Measures].[Count of اسم الصنف]" caption="Count of اسم الصنف" measure="1" displayFolder="" measureGroup="Sales" count="0" hidden="1">
      <extLst>
        <ext xmlns:x15="http://schemas.microsoft.com/office/spreadsheetml/2010/11/main" uri="{B97F6D7D-B522-45F9-BDA1-12C45D357490}">
          <x15:cacheHierarchy aggregatedColumn="2"/>
        </ext>
      </extLst>
    </cacheHierarchy>
    <cacheHierarchy uniqueName="[Measures].[Sum of الكمية]" caption="Sum of الكمية" measure="1" displayFolder="" measureGroup="Sales" count="0" hidden="1">
      <extLst>
        <ext xmlns:x15="http://schemas.microsoft.com/office/spreadsheetml/2010/11/main" uri="{B97F6D7D-B522-45F9-BDA1-12C45D357490}">
          <x15:cacheHierarchy aggregatedColumn="4"/>
        </ext>
      </extLst>
    </cacheHierarchy>
    <cacheHierarchy uniqueName="[Measures].[Count of الشهور]" caption="Count of الشهور" measure="1" displayFolder="" measureGroup="Sales" count="0" hidden="1">
      <extLst>
        <ext xmlns:x15="http://schemas.microsoft.com/office/spreadsheetml/2010/11/main" uri="{B97F6D7D-B522-45F9-BDA1-12C45D357490}">
          <x15:cacheHierarchy aggregatedColumn="15"/>
        </ext>
      </extLst>
    </cacheHierarchy>
    <cacheHierarchy uniqueName="[Measures].[Count of سعر الشراء]" caption="Count of سعر الشراء" measure="1" displayFolder="" measureGroup="Sale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Sales" uniqueName="[Sales]" caption="Sales"/>
    <dimension name="Target" uniqueName="[Target]" caption="Target"/>
  </dimensions>
  <measureGroups count="2">
    <measureGroup name="Sales" caption="Sales"/>
    <measureGroup name="Target" caption="Targe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38.591814930558" backgroundQuery="1" createdVersion="8" refreshedVersion="8" minRefreshableVersion="3" recordCount="0" supportSubquery="1" supportAdvancedDrill="1" xr:uid="{94130FA1-919F-4484-A71E-C19C021747EA}">
  <cacheSource type="external" connectionId="3"/>
  <cacheFields count="3">
    <cacheField name="[Sales].[التصنيف].[التصنيف]" caption="التصنيف" numFmtId="0" hierarchy="9" level="1">
      <sharedItems count="1">
        <s v="عصير"/>
      </sharedItems>
    </cacheField>
    <cacheField name="[Measures].[Sum of سعر الشركة]" caption="Sum of سعر الشركة" numFmtId="0" hierarchy="24" level="32767"/>
    <cacheField name="[Sales].[الشهور].[الشهور]" caption="الشهور" numFmtId="0" hierarchy="15" level="1">
      <sharedItems containsSemiMixedTypes="0" containsNonDate="0" containsString="0"/>
    </cacheField>
  </cacheFields>
  <cacheHierarchies count="30">
    <cacheHierarchy uniqueName="[Sales].[م]" caption="م" attribute="1" defaultMemberUniqueName="[Sales].[م].[All]" allUniqueName="[Sales].[م].[All]" dimensionUniqueName="[Sales]" displayFolder="" count="0" memberValueDatatype="20" unbalanced="0"/>
    <cacheHierarchy uniqueName="[Sales].[التاريخ]" caption="التاريخ" attribute="1" time="1" defaultMemberUniqueName="[Sales].[التاريخ].[All]" allUniqueName="[Sales].[التاريخ].[All]" dimensionUniqueName="[Sales]" displayFolder="" count="0" memberValueDatatype="7" unbalanced="0"/>
    <cacheHierarchy uniqueName="[Sales].[اسم الصنف]" caption="اسم الصنف" attribute="1" defaultMemberUniqueName="[Sales].[اسم الصنف].[All]" allUniqueName="[Sales].[اسم الصنف].[All]" dimensionUniqueName="[Sales]" displayFolder="" count="0" memberValueDatatype="130" unbalanced="0"/>
    <cacheHierarchy uniqueName="[Sales].[سعر الشركة]" caption="سعر الشركة" attribute="1" defaultMemberUniqueName="[Sales].[سعر الشركة].[All]" allUniqueName="[Sales].[سعر الشركة].[All]" dimensionUniqueName="[Sales]" displayFolder="" count="0" memberValueDatatype="5" unbalanced="0"/>
    <cacheHierarchy uniqueName="[Sales].[الكمية]" caption="الكمية" attribute="1" defaultMemberUniqueName="[Sales].[الكمية].[All]" allUniqueName="[Sales].[الكمية].[All]" dimensionUniqueName="[Sales]" displayFolder="" count="0" memberValueDatatype="5" unbalanced="0"/>
    <cacheHierarchy uniqueName="[Sales].[سعر الشراء]" caption="سعر الشراء" attribute="1" defaultMemberUniqueName="[Sales].[سعر الشراء].[All]" allUniqueName="[Sales].[سعر الشراء].[All]" dimensionUniqueName="[Sales]" displayFolder="" count="0" memberValueDatatype="130" unbalanced="0"/>
    <cacheHierarchy uniqueName="[Sales].[سعر الوحدة]" caption="سعر الوحدة" attribute="1" defaultMemberUniqueName="[Sales].[سعر الوحدة].[All]" allUniqueName="[Sales].[سعر الوحدة].[All]" dimensionUniqueName="[Sales]" displayFolder="" count="0" memberValueDatatype="130" unbalanced="0"/>
    <cacheHierarchy uniqueName="[Sales].[قيمة خصم]" caption="قيمة خصم" attribute="1" defaultMemberUniqueName="[Sales].[قيمة خصم].[All]" allUniqueName="[Sales].[قيمة خصم].[All]" dimensionUniqueName="[Sales]" displayFolder="" count="0" memberValueDatatype="20" unbalanced="0"/>
    <cacheHierarchy uniqueName="[Sales].[السعر الصافى]" caption="السعر الصافى" attribute="1" defaultMemberUniqueName="[Sales].[السعر الصافى].[All]" allUniqueName="[Sales].[السعر الصافى].[All]" dimensionUniqueName="[Sales]" displayFolder="" count="0" memberValueDatatype="5" unbalanced="0"/>
    <cacheHierarchy uniqueName="[Sales].[التصنيف]" caption="التصنيف" attribute="1" defaultMemberUniqueName="[Sales].[التصنيف].[All]" allUniqueName="[Sales].[التصنيف].[All]" dimensionUniqueName="[Sales]" displayFolder="" count="2" memberValueDatatype="130" unbalanced="0">
      <fieldsUsage count="2">
        <fieldUsage x="-1"/>
        <fieldUsage x="0"/>
      </fieldsUsage>
    </cacheHierarchy>
    <cacheHierarchy uniqueName="[Sales].[نسبة العمولة]" caption="نسبة العمولة" attribute="1" defaultMemberUniqueName="[Sales].[نسبة العمولة].[All]" allUniqueName="[Sales].[نسبة العمولة].[All]" dimensionUniqueName="[Sales]" displayFolder="" count="0" memberValueDatatype="5" unbalanced="0"/>
    <cacheHierarchy uniqueName="[Sales].[العمولة]" caption="العمولة" attribute="1" defaultMemberUniqueName="[Sales].[العمولة].[All]" allUniqueName="[Sales].[العمولة].[All]" dimensionUniqueName="[Sales]" displayFolder="" count="0" memberValueDatatype="5" unbalanced="0"/>
    <cacheHierarchy uniqueName="[Sales].[سيارات]" caption="سيارات" attribute="1" defaultMemberUniqueName="[Sales].[سيارات].[All]" allUniqueName="[Sales].[سيارات].[All]" dimensionUniqueName="[Sales]" displayFolder="" count="0" memberValueDatatype="20" unbalanced="0"/>
    <cacheHierarchy uniqueName="[Sales].[حافز]" caption="حافز" attribute="1" defaultMemberUniqueName="[Sales].[حافز].[All]" allUniqueName="[Sales].[حافز].[All]" dimensionUniqueName="[Sales]" displayFolder="" count="0" memberValueDatatype="20" unbalanced="0"/>
    <cacheHierarchy uniqueName="[Sales].[اجمالى العمولة]" caption="اجمالى العمولة" attribute="1" defaultMemberUniqueName="[Sales].[اجمالى العمولة].[All]" allUniqueName="[Sales].[اجمالى العمولة].[All]" dimensionUniqueName="[Sales]" displayFolder="" count="0" memberValueDatatype="5" unbalanced="0"/>
    <cacheHierarchy uniqueName="[Sales].[الشهور]" caption="الشهور" attribute="1" defaultMemberUniqueName="[Sales].[الشهور].[All]" allUniqueName="[Sales].[الشهور].[All]" dimensionUniqueName="[Sales]" displayFolder="" count="2" memberValueDatatype="130" unbalanced="0">
      <fieldsUsage count="2">
        <fieldUsage x="-1"/>
        <fieldUsage x="2"/>
      </fieldsUsage>
    </cacheHierarchy>
    <cacheHierarchy uniqueName="[Sales].[رقم الطلبية]" caption="رقم الطلبية" attribute="1" defaultMemberUniqueName="[Sales].[رقم الطلبية].[All]" allUniqueName="[Sales].[رقم الطلبية].[All]" dimensionUniqueName="[Sales]" displayFolder="" count="0" memberValueDatatype="20" unbalanced="0"/>
    <cacheHierarchy uniqueName="[Target].[الشهور]" caption="الشهور" attribute="1" defaultMemberUniqueName="[Target].[الشهور].[All]" allUniqueName="[Target].[الشهور].[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20" unbalanced="0"/>
    <cacheHierarchy uniqueName="[Measures].[__XL_Count Sales]" caption="__XL_Count Sales" measure="1" displayFolder="" measureGroup="Sale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رقم الطلبية]" caption="Sum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Distinct Count of رقم الطلبية]" caption="Distinct Count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Sum of سعر الشركة]" caption="Sum of سعر الشركة" measure="1" displayFolder="" measureGroup="Sales"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18"/>
        </ext>
      </extLst>
    </cacheHierarchy>
    <cacheHierarchy uniqueName="[Measures].[Count of اسم الصنف]" caption="Count of اسم الصنف" measure="1" displayFolder="" measureGroup="Sales" count="0" hidden="1">
      <extLst>
        <ext xmlns:x15="http://schemas.microsoft.com/office/spreadsheetml/2010/11/main" uri="{B97F6D7D-B522-45F9-BDA1-12C45D357490}">
          <x15:cacheHierarchy aggregatedColumn="2"/>
        </ext>
      </extLst>
    </cacheHierarchy>
    <cacheHierarchy uniqueName="[Measures].[Sum of الكمية]" caption="Sum of الكمية" measure="1" displayFolder="" measureGroup="Sales" count="0" hidden="1">
      <extLst>
        <ext xmlns:x15="http://schemas.microsoft.com/office/spreadsheetml/2010/11/main" uri="{B97F6D7D-B522-45F9-BDA1-12C45D357490}">
          <x15:cacheHierarchy aggregatedColumn="4"/>
        </ext>
      </extLst>
    </cacheHierarchy>
    <cacheHierarchy uniqueName="[Measures].[Count of الشهور]" caption="Count of الشهور" measure="1" displayFolder="" measureGroup="Sales" count="0" hidden="1">
      <extLst>
        <ext xmlns:x15="http://schemas.microsoft.com/office/spreadsheetml/2010/11/main" uri="{B97F6D7D-B522-45F9-BDA1-12C45D357490}">
          <x15:cacheHierarchy aggregatedColumn="15"/>
        </ext>
      </extLst>
    </cacheHierarchy>
    <cacheHierarchy uniqueName="[Measures].[Count of سعر الشراء]" caption="Count of سعر الشراء" measure="1" displayFolder="" measureGroup="Sale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Sales" uniqueName="[Sales]" caption="Sales"/>
    <dimension name="Target" uniqueName="[Target]" caption="Target"/>
  </dimensions>
  <measureGroups count="2">
    <measureGroup name="Sales" caption="Sales"/>
    <measureGroup name="Target" caption="Targe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38.591815162035" backgroundQuery="1" createdVersion="8" refreshedVersion="8" minRefreshableVersion="3" recordCount="0" supportSubquery="1" supportAdvancedDrill="1" xr:uid="{CA24304A-3390-4532-B739-3792B1BD27F5}">
  <cacheSource type="external" connectionId="3"/>
  <cacheFields count="3">
    <cacheField name="[Sales].[التصنيف].[التصنيف]" caption="التصنيف" numFmtId="0" hierarchy="9" level="1">
      <sharedItems count="1">
        <s v="البان"/>
      </sharedItems>
    </cacheField>
    <cacheField name="[Measures].[Sum of سعر الشركة]" caption="Sum of سعر الشركة" numFmtId="0" hierarchy="24" level="32767"/>
    <cacheField name="[Sales].[الشهور].[الشهور]" caption="الشهور" numFmtId="0" hierarchy="15" level="1">
      <sharedItems containsSemiMixedTypes="0" containsNonDate="0" containsString="0"/>
    </cacheField>
  </cacheFields>
  <cacheHierarchies count="30">
    <cacheHierarchy uniqueName="[Sales].[م]" caption="م" attribute="1" defaultMemberUniqueName="[Sales].[م].[All]" allUniqueName="[Sales].[م].[All]" dimensionUniqueName="[Sales]" displayFolder="" count="0" memberValueDatatype="20" unbalanced="0"/>
    <cacheHierarchy uniqueName="[Sales].[التاريخ]" caption="التاريخ" attribute="1" time="1" defaultMemberUniqueName="[Sales].[التاريخ].[All]" allUniqueName="[Sales].[التاريخ].[All]" dimensionUniqueName="[Sales]" displayFolder="" count="0" memberValueDatatype="7" unbalanced="0"/>
    <cacheHierarchy uniqueName="[Sales].[اسم الصنف]" caption="اسم الصنف" attribute="1" defaultMemberUniqueName="[Sales].[اسم الصنف].[All]" allUniqueName="[Sales].[اسم الصنف].[All]" dimensionUniqueName="[Sales]" displayFolder="" count="0" memberValueDatatype="130" unbalanced="0"/>
    <cacheHierarchy uniqueName="[Sales].[سعر الشركة]" caption="سعر الشركة" attribute="1" defaultMemberUniqueName="[Sales].[سعر الشركة].[All]" allUniqueName="[Sales].[سعر الشركة].[All]" dimensionUniqueName="[Sales]" displayFolder="" count="0" memberValueDatatype="5" unbalanced="0"/>
    <cacheHierarchy uniqueName="[Sales].[الكمية]" caption="الكمية" attribute="1" defaultMemberUniqueName="[Sales].[الكمية].[All]" allUniqueName="[Sales].[الكمية].[All]" dimensionUniqueName="[Sales]" displayFolder="" count="0" memberValueDatatype="5" unbalanced="0"/>
    <cacheHierarchy uniqueName="[Sales].[سعر الشراء]" caption="سعر الشراء" attribute="1" defaultMemberUniqueName="[Sales].[سعر الشراء].[All]" allUniqueName="[Sales].[سعر الشراء].[All]" dimensionUniqueName="[Sales]" displayFolder="" count="0" memberValueDatatype="130" unbalanced="0"/>
    <cacheHierarchy uniqueName="[Sales].[سعر الوحدة]" caption="سعر الوحدة" attribute="1" defaultMemberUniqueName="[Sales].[سعر الوحدة].[All]" allUniqueName="[Sales].[سعر الوحدة].[All]" dimensionUniqueName="[Sales]" displayFolder="" count="0" memberValueDatatype="130" unbalanced="0"/>
    <cacheHierarchy uniqueName="[Sales].[قيمة خصم]" caption="قيمة خصم" attribute="1" defaultMemberUniqueName="[Sales].[قيمة خصم].[All]" allUniqueName="[Sales].[قيمة خصم].[All]" dimensionUniqueName="[Sales]" displayFolder="" count="0" memberValueDatatype="20" unbalanced="0"/>
    <cacheHierarchy uniqueName="[Sales].[السعر الصافى]" caption="السعر الصافى" attribute="1" defaultMemberUniqueName="[Sales].[السعر الصافى].[All]" allUniqueName="[Sales].[السعر الصافى].[All]" dimensionUniqueName="[Sales]" displayFolder="" count="0" memberValueDatatype="5" unbalanced="0"/>
    <cacheHierarchy uniqueName="[Sales].[التصنيف]" caption="التصنيف" attribute="1" defaultMemberUniqueName="[Sales].[التصنيف].[All]" allUniqueName="[Sales].[التصنيف].[All]" dimensionUniqueName="[Sales]" displayFolder="" count="2" memberValueDatatype="130" unbalanced="0">
      <fieldsUsage count="2">
        <fieldUsage x="-1"/>
        <fieldUsage x="0"/>
      </fieldsUsage>
    </cacheHierarchy>
    <cacheHierarchy uniqueName="[Sales].[نسبة العمولة]" caption="نسبة العمولة" attribute="1" defaultMemberUniqueName="[Sales].[نسبة العمولة].[All]" allUniqueName="[Sales].[نسبة العمولة].[All]" dimensionUniqueName="[Sales]" displayFolder="" count="0" memberValueDatatype="5" unbalanced="0"/>
    <cacheHierarchy uniqueName="[Sales].[العمولة]" caption="العمولة" attribute="1" defaultMemberUniqueName="[Sales].[العمولة].[All]" allUniqueName="[Sales].[العمولة].[All]" dimensionUniqueName="[Sales]" displayFolder="" count="0" memberValueDatatype="5" unbalanced="0"/>
    <cacheHierarchy uniqueName="[Sales].[سيارات]" caption="سيارات" attribute="1" defaultMemberUniqueName="[Sales].[سيارات].[All]" allUniqueName="[Sales].[سيارات].[All]" dimensionUniqueName="[Sales]" displayFolder="" count="0" memberValueDatatype="20" unbalanced="0"/>
    <cacheHierarchy uniqueName="[Sales].[حافز]" caption="حافز" attribute="1" defaultMemberUniqueName="[Sales].[حافز].[All]" allUniqueName="[Sales].[حافز].[All]" dimensionUniqueName="[Sales]" displayFolder="" count="0" memberValueDatatype="20" unbalanced="0"/>
    <cacheHierarchy uniqueName="[Sales].[اجمالى العمولة]" caption="اجمالى العمولة" attribute="1" defaultMemberUniqueName="[Sales].[اجمالى العمولة].[All]" allUniqueName="[Sales].[اجمالى العمولة].[All]" dimensionUniqueName="[Sales]" displayFolder="" count="0" memberValueDatatype="5" unbalanced="0"/>
    <cacheHierarchy uniqueName="[Sales].[الشهور]" caption="الشهور" attribute="1" defaultMemberUniqueName="[Sales].[الشهور].[All]" allUniqueName="[Sales].[الشهور].[All]" dimensionUniqueName="[Sales]" displayFolder="" count="2" memberValueDatatype="130" unbalanced="0">
      <fieldsUsage count="2">
        <fieldUsage x="-1"/>
        <fieldUsage x="2"/>
      </fieldsUsage>
    </cacheHierarchy>
    <cacheHierarchy uniqueName="[Sales].[رقم الطلبية]" caption="رقم الطلبية" attribute="1" defaultMemberUniqueName="[Sales].[رقم الطلبية].[All]" allUniqueName="[Sales].[رقم الطلبية].[All]" dimensionUniqueName="[Sales]" displayFolder="" count="0" memberValueDatatype="20" unbalanced="0"/>
    <cacheHierarchy uniqueName="[Target].[الشهور]" caption="الشهور" attribute="1" defaultMemberUniqueName="[Target].[الشهور].[All]" allUniqueName="[Target].[الشهور].[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20" unbalanced="0"/>
    <cacheHierarchy uniqueName="[Measures].[__XL_Count Sales]" caption="__XL_Count Sales" measure="1" displayFolder="" measureGroup="Sale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رقم الطلبية]" caption="Sum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Distinct Count of رقم الطلبية]" caption="Distinct Count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Sum of سعر الشركة]" caption="Sum of سعر الشركة" measure="1" displayFolder="" measureGroup="Sales"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18"/>
        </ext>
      </extLst>
    </cacheHierarchy>
    <cacheHierarchy uniqueName="[Measures].[Count of اسم الصنف]" caption="Count of اسم الصنف" measure="1" displayFolder="" measureGroup="Sales" count="0" hidden="1">
      <extLst>
        <ext xmlns:x15="http://schemas.microsoft.com/office/spreadsheetml/2010/11/main" uri="{B97F6D7D-B522-45F9-BDA1-12C45D357490}">
          <x15:cacheHierarchy aggregatedColumn="2"/>
        </ext>
      </extLst>
    </cacheHierarchy>
    <cacheHierarchy uniqueName="[Measures].[Sum of الكمية]" caption="Sum of الكمية" measure="1" displayFolder="" measureGroup="Sales" count="0" hidden="1">
      <extLst>
        <ext xmlns:x15="http://schemas.microsoft.com/office/spreadsheetml/2010/11/main" uri="{B97F6D7D-B522-45F9-BDA1-12C45D357490}">
          <x15:cacheHierarchy aggregatedColumn="4"/>
        </ext>
      </extLst>
    </cacheHierarchy>
    <cacheHierarchy uniqueName="[Measures].[Count of الشهور]" caption="Count of الشهور" measure="1" displayFolder="" measureGroup="Sales" count="0" hidden="1">
      <extLst>
        <ext xmlns:x15="http://schemas.microsoft.com/office/spreadsheetml/2010/11/main" uri="{B97F6D7D-B522-45F9-BDA1-12C45D357490}">
          <x15:cacheHierarchy aggregatedColumn="15"/>
        </ext>
      </extLst>
    </cacheHierarchy>
    <cacheHierarchy uniqueName="[Measures].[Count of سعر الشراء]" caption="Count of سعر الشراء" measure="1" displayFolder="" measureGroup="Sale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Sales" uniqueName="[Sales]" caption="Sales"/>
    <dimension name="Target" uniqueName="[Target]" caption="Target"/>
  </dimensions>
  <measureGroups count="2">
    <measureGroup name="Sales" caption="Sales"/>
    <measureGroup name="Target" caption="Targe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38.59181539352" backgroundQuery="1" createdVersion="8" refreshedVersion="8" minRefreshableVersion="3" recordCount="0" supportSubquery="1" supportAdvancedDrill="1" xr:uid="{BCBEADF5-983A-494A-A59E-346B3B30DDD4}">
  <cacheSource type="external" connectionId="3"/>
  <cacheFields count="3">
    <cacheField name="[Sales].[التصنيف].[التصنيف]" caption="التصنيف" numFmtId="0" hierarchy="9" level="1">
      <sharedItems count="1">
        <s v="جبنة"/>
      </sharedItems>
    </cacheField>
    <cacheField name="[Measures].[Sum of سعر الشركة]" caption="Sum of سعر الشركة" numFmtId="0" hierarchy="24" level="32767"/>
    <cacheField name="[Sales].[الشهور].[الشهور]" caption="الشهور" numFmtId="0" hierarchy="15" level="1">
      <sharedItems containsSemiMixedTypes="0" containsNonDate="0" containsString="0"/>
    </cacheField>
  </cacheFields>
  <cacheHierarchies count="30">
    <cacheHierarchy uniqueName="[Sales].[م]" caption="م" attribute="1" defaultMemberUniqueName="[Sales].[م].[All]" allUniqueName="[Sales].[م].[All]" dimensionUniqueName="[Sales]" displayFolder="" count="0" memberValueDatatype="20" unbalanced="0"/>
    <cacheHierarchy uniqueName="[Sales].[التاريخ]" caption="التاريخ" attribute="1" time="1" defaultMemberUniqueName="[Sales].[التاريخ].[All]" allUniqueName="[Sales].[التاريخ].[All]" dimensionUniqueName="[Sales]" displayFolder="" count="0" memberValueDatatype="7" unbalanced="0"/>
    <cacheHierarchy uniqueName="[Sales].[اسم الصنف]" caption="اسم الصنف" attribute="1" defaultMemberUniqueName="[Sales].[اسم الصنف].[All]" allUniqueName="[Sales].[اسم الصنف].[All]" dimensionUniqueName="[Sales]" displayFolder="" count="0" memberValueDatatype="130" unbalanced="0"/>
    <cacheHierarchy uniqueName="[Sales].[سعر الشركة]" caption="سعر الشركة" attribute="1" defaultMemberUniqueName="[Sales].[سعر الشركة].[All]" allUniqueName="[Sales].[سعر الشركة].[All]" dimensionUniqueName="[Sales]" displayFolder="" count="0" memberValueDatatype="5" unbalanced="0"/>
    <cacheHierarchy uniqueName="[Sales].[الكمية]" caption="الكمية" attribute="1" defaultMemberUniqueName="[Sales].[الكمية].[All]" allUniqueName="[Sales].[الكمية].[All]" dimensionUniqueName="[Sales]" displayFolder="" count="0" memberValueDatatype="5" unbalanced="0"/>
    <cacheHierarchy uniqueName="[Sales].[سعر الشراء]" caption="سعر الشراء" attribute="1" defaultMemberUniqueName="[Sales].[سعر الشراء].[All]" allUniqueName="[Sales].[سعر الشراء].[All]" dimensionUniqueName="[Sales]" displayFolder="" count="0" memberValueDatatype="130" unbalanced="0"/>
    <cacheHierarchy uniqueName="[Sales].[سعر الوحدة]" caption="سعر الوحدة" attribute="1" defaultMemberUniqueName="[Sales].[سعر الوحدة].[All]" allUniqueName="[Sales].[سعر الوحدة].[All]" dimensionUniqueName="[Sales]" displayFolder="" count="0" memberValueDatatype="130" unbalanced="0"/>
    <cacheHierarchy uniqueName="[Sales].[قيمة خصم]" caption="قيمة خصم" attribute="1" defaultMemberUniqueName="[Sales].[قيمة خصم].[All]" allUniqueName="[Sales].[قيمة خصم].[All]" dimensionUniqueName="[Sales]" displayFolder="" count="0" memberValueDatatype="20" unbalanced="0"/>
    <cacheHierarchy uniqueName="[Sales].[السعر الصافى]" caption="السعر الصافى" attribute="1" defaultMemberUniqueName="[Sales].[السعر الصافى].[All]" allUniqueName="[Sales].[السعر الصافى].[All]" dimensionUniqueName="[Sales]" displayFolder="" count="0" memberValueDatatype="5" unbalanced="0"/>
    <cacheHierarchy uniqueName="[Sales].[التصنيف]" caption="التصنيف" attribute="1" defaultMemberUniqueName="[Sales].[التصنيف].[All]" allUniqueName="[Sales].[التصنيف].[All]" dimensionUniqueName="[Sales]" displayFolder="" count="2" memberValueDatatype="130" unbalanced="0">
      <fieldsUsage count="2">
        <fieldUsage x="-1"/>
        <fieldUsage x="0"/>
      </fieldsUsage>
    </cacheHierarchy>
    <cacheHierarchy uniqueName="[Sales].[نسبة العمولة]" caption="نسبة العمولة" attribute="1" defaultMemberUniqueName="[Sales].[نسبة العمولة].[All]" allUniqueName="[Sales].[نسبة العمولة].[All]" dimensionUniqueName="[Sales]" displayFolder="" count="0" memberValueDatatype="5" unbalanced="0"/>
    <cacheHierarchy uniqueName="[Sales].[العمولة]" caption="العمولة" attribute="1" defaultMemberUniqueName="[Sales].[العمولة].[All]" allUniqueName="[Sales].[العمولة].[All]" dimensionUniqueName="[Sales]" displayFolder="" count="0" memberValueDatatype="5" unbalanced="0"/>
    <cacheHierarchy uniqueName="[Sales].[سيارات]" caption="سيارات" attribute="1" defaultMemberUniqueName="[Sales].[سيارات].[All]" allUniqueName="[Sales].[سيارات].[All]" dimensionUniqueName="[Sales]" displayFolder="" count="0" memberValueDatatype="20" unbalanced="0"/>
    <cacheHierarchy uniqueName="[Sales].[حافز]" caption="حافز" attribute="1" defaultMemberUniqueName="[Sales].[حافز].[All]" allUniqueName="[Sales].[حافز].[All]" dimensionUniqueName="[Sales]" displayFolder="" count="0" memberValueDatatype="20" unbalanced="0"/>
    <cacheHierarchy uniqueName="[Sales].[اجمالى العمولة]" caption="اجمالى العمولة" attribute="1" defaultMemberUniqueName="[Sales].[اجمالى العمولة].[All]" allUniqueName="[Sales].[اجمالى العمولة].[All]" dimensionUniqueName="[Sales]" displayFolder="" count="0" memberValueDatatype="5" unbalanced="0"/>
    <cacheHierarchy uniqueName="[Sales].[الشهور]" caption="الشهور" attribute="1" defaultMemberUniqueName="[Sales].[الشهور].[All]" allUniqueName="[Sales].[الشهور].[All]" dimensionUniqueName="[Sales]" displayFolder="" count="2" memberValueDatatype="130" unbalanced="0">
      <fieldsUsage count="2">
        <fieldUsage x="-1"/>
        <fieldUsage x="2"/>
      </fieldsUsage>
    </cacheHierarchy>
    <cacheHierarchy uniqueName="[Sales].[رقم الطلبية]" caption="رقم الطلبية" attribute="1" defaultMemberUniqueName="[Sales].[رقم الطلبية].[All]" allUniqueName="[Sales].[رقم الطلبية].[All]" dimensionUniqueName="[Sales]" displayFolder="" count="0" memberValueDatatype="20" unbalanced="0"/>
    <cacheHierarchy uniqueName="[Target].[الشهور]" caption="الشهور" attribute="1" defaultMemberUniqueName="[Target].[الشهور].[All]" allUniqueName="[Target].[الشهور].[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20" unbalanced="0"/>
    <cacheHierarchy uniqueName="[Measures].[__XL_Count Sales]" caption="__XL_Count Sales" measure="1" displayFolder="" measureGroup="Sale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رقم الطلبية]" caption="Sum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Distinct Count of رقم الطلبية]" caption="Distinct Count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Sum of سعر الشركة]" caption="Sum of سعر الشركة" measure="1" displayFolder="" measureGroup="Sales"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18"/>
        </ext>
      </extLst>
    </cacheHierarchy>
    <cacheHierarchy uniqueName="[Measures].[Count of اسم الصنف]" caption="Count of اسم الصنف" measure="1" displayFolder="" measureGroup="Sales" count="0" hidden="1">
      <extLst>
        <ext xmlns:x15="http://schemas.microsoft.com/office/spreadsheetml/2010/11/main" uri="{B97F6D7D-B522-45F9-BDA1-12C45D357490}">
          <x15:cacheHierarchy aggregatedColumn="2"/>
        </ext>
      </extLst>
    </cacheHierarchy>
    <cacheHierarchy uniqueName="[Measures].[Sum of الكمية]" caption="Sum of الكمية" measure="1" displayFolder="" measureGroup="Sales" count="0" hidden="1">
      <extLst>
        <ext xmlns:x15="http://schemas.microsoft.com/office/spreadsheetml/2010/11/main" uri="{B97F6D7D-B522-45F9-BDA1-12C45D357490}">
          <x15:cacheHierarchy aggregatedColumn="4"/>
        </ext>
      </extLst>
    </cacheHierarchy>
    <cacheHierarchy uniqueName="[Measures].[Count of الشهور]" caption="Count of الشهور" measure="1" displayFolder="" measureGroup="Sales" count="0" hidden="1">
      <extLst>
        <ext xmlns:x15="http://schemas.microsoft.com/office/spreadsheetml/2010/11/main" uri="{B97F6D7D-B522-45F9-BDA1-12C45D357490}">
          <x15:cacheHierarchy aggregatedColumn="15"/>
        </ext>
      </extLst>
    </cacheHierarchy>
    <cacheHierarchy uniqueName="[Measures].[Count of سعر الشراء]" caption="Count of سعر الشراء" measure="1" displayFolder="" measureGroup="Sale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Sales" uniqueName="[Sales]" caption="Sales"/>
    <dimension name="Target" uniqueName="[Target]" caption="Target"/>
  </dimensions>
  <measureGroups count="2">
    <measureGroup name="Sales" caption="Sales"/>
    <measureGroup name="Target" caption="Targe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38.591815856482" backgroundQuery="1" createdVersion="8" refreshedVersion="8" minRefreshableVersion="3" recordCount="0" supportSubquery="1" supportAdvancedDrill="1" xr:uid="{9318CF4B-4139-4475-92A1-01FDDB7E1B37}">
  <cacheSource type="external" connectionId="3"/>
  <cacheFields count="2">
    <cacheField name="[Sales].[الشهور].[الشهور]" caption="الشهور" numFmtId="0" hierarchy="15" level="1">
      <sharedItems count="12">
        <s v="أبريل"/>
        <s v="أغسطس"/>
        <s v="أكتوبر"/>
        <s v="ديسمبر"/>
        <s v="سبتمبر"/>
        <s v="فبراير"/>
        <s v="مارس"/>
        <s v="مايو"/>
        <s v="نوفمبر"/>
        <s v="يناير"/>
        <s v="يوليو"/>
        <s v="يونيو"/>
      </sharedItems>
    </cacheField>
    <cacheField name="[Measures].[Sum of سعر الشركة]" caption="Sum of سعر الشركة" numFmtId="0" hierarchy="24" level="32767"/>
  </cacheFields>
  <cacheHierarchies count="30">
    <cacheHierarchy uniqueName="[Sales].[م]" caption="م" attribute="1" defaultMemberUniqueName="[Sales].[م].[All]" allUniqueName="[Sales].[م].[All]" dimensionUniqueName="[Sales]" displayFolder="" count="0" memberValueDatatype="20" unbalanced="0"/>
    <cacheHierarchy uniqueName="[Sales].[التاريخ]" caption="التاريخ" attribute="1" time="1" defaultMemberUniqueName="[Sales].[التاريخ].[All]" allUniqueName="[Sales].[التاريخ].[All]" dimensionUniqueName="[Sales]" displayFolder="" count="0" memberValueDatatype="7" unbalanced="0"/>
    <cacheHierarchy uniqueName="[Sales].[اسم الصنف]" caption="اسم الصنف" attribute="1" defaultMemberUniqueName="[Sales].[اسم الصنف].[All]" allUniqueName="[Sales].[اسم الصنف].[All]" dimensionUniqueName="[Sales]" displayFolder="" count="0" memberValueDatatype="130" unbalanced="0"/>
    <cacheHierarchy uniqueName="[Sales].[سعر الشركة]" caption="سعر الشركة" attribute="1" defaultMemberUniqueName="[Sales].[سعر الشركة].[All]" allUniqueName="[Sales].[سعر الشركة].[All]" dimensionUniqueName="[Sales]" displayFolder="" count="0" memberValueDatatype="5" unbalanced="0"/>
    <cacheHierarchy uniqueName="[Sales].[الكمية]" caption="الكمية" attribute="1" defaultMemberUniqueName="[Sales].[الكمية].[All]" allUniqueName="[Sales].[الكمية].[All]" dimensionUniqueName="[Sales]" displayFolder="" count="0" memberValueDatatype="5" unbalanced="0"/>
    <cacheHierarchy uniqueName="[Sales].[سعر الشراء]" caption="سعر الشراء" attribute="1" defaultMemberUniqueName="[Sales].[سعر الشراء].[All]" allUniqueName="[Sales].[سعر الشراء].[All]" dimensionUniqueName="[Sales]" displayFolder="" count="0" memberValueDatatype="130" unbalanced="0"/>
    <cacheHierarchy uniqueName="[Sales].[سعر الوحدة]" caption="سعر الوحدة" attribute="1" defaultMemberUniqueName="[Sales].[سعر الوحدة].[All]" allUniqueName="[Sales].[سعر الوحدة].[All]" dimensionUniqueName="[Sales]" displayFolder="" count="0" memberValueDatatype="130" unbalanced="0"/>
    <cacheHierarchy uniqueName="[Sales].[قيمة خصم]" caption="قيمة خصم" attribute="1" defaultMemberUniqueName="[Sales].[قيمة خصم].[All]" allUniqueName="[Sales].[قيمة خصم].[All]" dimensionUniqueName="[Sales]" displayFolder="" count="0" memberValueDatatype="20" unbalanced="0"/>
    <cacheHierarchy uniqueName="[Sales].[السعر الصافى]" caption="السعر الصافى" attribute="1" defaultMemberUniqueName="[Sales].[السعر الصافى].[All]" allUniqueName="[Sales].[السعر الصافى].[All]" dimensionUniqueName="[Sales]" displayFolder="" count="0" memberValueDatatype="5" unbalanced="0"/>
    <cacheHierarchy uniqueName="[Sales].[التصنيف]" caption="التصنيف" attribute="1" defaultMemberUniqueName="[Sales].[التصنيف].[All]" allUniqueName="[Sales].[التصنيف].[All]" dimensionUniqueName="[Sales]" displayFolder="" count="0" memberValueDatatype="130" unbalanced="0"/>
    <cacheHierarchy uniqueName="[Sales].[نسبة العمولة]" caption="نسبة العمولة" attribute="1" defaultMemberUniqueName="[Sales].[نسبة العمولة].[All]" allUniqueName="[Sales].[نسبة العمولة].[All]" dimensionUniqueName="[Sales]" displayFolder="" count="0" memberValueDatatype="5" unbalanced="0"/>
    <cacheHierarchy uniqueName="[Sales].[العمولة]" caption="العمولة" attribute="1" defaultMemberUniqueName="[Sales].[العمولة].[All]" allUniqueName="[Sales].[العمولة].[All]" dimensionUniqueName="[Sales]" displayFolder="" count="0" memberValueDatatype="5" unbalanced="0"/>
    <cacheHierarchy uniqueName="[Sales].[سيارات]" caption="سيارات" attribute="1" defaultMemberUniqueName="[Sales].[سيارات].[All]" allUniqueName="[Sales].[سيارات].[All]" dimensionUniqueName="[Sales]" displayFolder="" count="0" memberValueDatatype="20" unbalanced="0"/>
    <cacheHierarchy uniqueName="[Sales].[حافز]" caption="حافز" attribute="1" defaultMemberUniqueName="[Sales].[حافز].[All]" allUniqueName="[Sales].[حافز].[All]" dimensionUniqueName="[Sales]" displayFolder="" count="0" memberValueDatatype="20" unbalanced="0"/>
    <cacheHierarchy uniqueName="[Sales].[اجمالى العمولة]" caption="اجمالى العمولة" attribute="1" defaultMemberUniqueName="[Sales].[اجمالى العمولة].[All]" allUniqueName="[Sales].[اجمالى العمولة].[All]" dimensionUniqueName="[Sales]" displayFolder="" count="0" memberValueDatatype="5" unbalanced="0"/>
    <cacheHierarchy uniqueName="[Sales].[الشهور]" caption="الشهور" attribute="1" defaultMemberUniqueName="[Sales].[الشهور].[All]" allUniqueName="[Sales].[الشهور].[All]" dimensionUniqueName="[Sales]" displayFolder="" count="2" memberValueDatatype="130" unbalanced="0">
      <fieldsUsage count="2">
        <fieldUsage x="-1"/>
        <fieldUsage x="0"/>
      </fieldsUsage>
    </cacheHierarchy>
    <cacheHierarchy uniqueName="[Sales].[رقم الطلبية]" caption="رقم الطلبية" attribute="1" defaultMemberUniqueName="[Sales].[رقم الطلبية].[All]" allUniqueName="[Sales].[رقم الطلبية].[All]" dimensionUniqueName="[Sales]" displayFolder="" count="0" memberValueDatatype="20" unbalanced="0"/>
    <cacheHierarchy uniqueName="[Target].[الشهور]" caption="الشهور" attribute="1" defaultMemberUniqueName="[Target].[الشهور].[All]" allUniqueName="[Target].[الشهور].[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20" unbalanced="0"/>
    <cacheHierarchy uniqueName="[Measures].[__XL_Count Sales]" caption="__XL_Count Sales" measure="1" displayFolder="" measureGroup="Sale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رقم الطلبية]" caption="Sum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Distinct Count of رقم الطلبية]" caption="Distinct Count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Sum of سعر الشركة]" caption="Sum of سعر الشركة" measure="1" displayFolder="" measureGroup="Sales" count="0" oneField="1" hidden="1">
      <fieldsUsage count="1">
        <fieldUsage x="1"/>
      </fieldsUsage>
      <extLst>
        <ext xmlns:x15="http://schemas.microsoft.com/office/spreadsheetml/2010/11/main" uri="{B97F6D7D-B522-45F9-BDA1-12C45D357490}">
          <x15:cacheHierarchy aggregatedColumn="3"/>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18"/>
        </ext>
      </extLst>
    </cacheHierarchy>
    <cacheHierarchy uniqueName="[Measures].[Count of اسم الصنف]" caption="Count of اسم الصنف" measure="1" displayFolder="" measureGroup="Sales" count="0" hidden="1">
      <extLst>
        <ext xmlns:x15="http://schemas.microsoft.com/office/spreadsheetml/2010/11/main" uri="{B97F6D7D-B522-45F9-BDA1-12C45D357490}">
          <x15:cacheHierarchy aggregatedColumn="2"/>
        </ext>
      </extLst>
    </cacheHierarchy>
    <cacheHierarchy uniqueName="[Measures].[Sum of الكمية]" caption="Sum of الكمية" measure="1" displayFolder="" measureGroup="Sales" count="0" hidden="1">
      <extLst>
        <ext xmlns:x15="http://schemas.microsoft.com/office/spreadsheetml/2010/11/main" uri="{B97F6D7D-B522-45F9-BDA1-12C45D357490}">
          <x15:cacheHierarchy aggregatedColumn="4"/>
        </ext>
      </extLst>
    </cacheHierarchy>
    <cacheHierarchy uniqueName="[Measures].[Count of الشهور]" caption="Count of الشهور" measure="1" displayFolder="" measureGroup="Sales" count="0" hidden="1">
      <extLst>
        <ext xmlns:x15="http://schemas.microsoft.com/office/spreadsheetml/2010/11/main" uri="{B97F6D7D-B522-45F9-BDA1-12C45D357490}">
          <x15:cacheHierarchy aggregatedColumn="15"/>
        </ext>
      </extLst>
    </cacheHierarchy>
    <cacheHierarchy uniqueName="[Measures].[Count of سعر الشراء]" caption="Count of سعر الشراء" measure="1" displayFolder="" measureGroup="Sales" count="0" hidden="1">
      <extLst>
        <ext xmlns:x15="http://schemas.microsoft.com/office/spreadsheetml/2010/11/main" uri="{B97F6D7D-B522-45F9-BDA1-12C45D357490}">
          <x15:cacheHierarchy aggregatedColumn="5"/>
        </ext>
      </extLst>
    </cacheHierarchy>
  </cacheHierarchies>
  <kpis count="0"/>
  <dimensions count="3">
    <dimension measure="1" name="Measures" uniqueName="[Measures]" caption="Measures"/>
    <dimension name="Sales" uniqueName="[Sales]" caption="Sales"/>
    <dimension name="Target" uniqueName="[Target]" caption="Target"/>
  </dimensions>
  <measureGroups count="2">
    <measureGroup name="Sales" caption="Sales"/>
    <measureGroup name="Target" caption="Target"/>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sh" refreshedDate="46026.980695370374" backgroundQuery="1" createdVersion="3" refreshedVersion="8" minRefreshableVersion="3" recordCount="0" supportSubquery="1" supportAdvancedDrill="1" xr:uid="{01638627-E4C6-4ECA-93C9-630195F4F0A0}">
  <cacheSource type="external" connectionId="3">
    <extLst>
      <ext xmlns:x14="http://schemas.microsoft.com/office/spreadsheetml/2009/9/main" uri="{F057638F-6D5F-4e77-A914-E7F072B9BCA8}">
        <x14:sourceConnection name="ThisWorkbookDataModel"/>
      </ext>
    </extLst>
  </cacheSource>
  <cacheFields count="0"/>
  <cacheHierarchies count="30">
    <cacheHierarchy uniqueName="[Sales].[م]" caption="م" attribute="1" defaultMemberUniqueName="[Sales].[م].[All]" allUniqueName="[Sales].[م].[All]" dimensionUniqueName="[Sales]" displayFolder="" count="0" memberValueDatatype="20" unbalanced="0"/>
    <cacheHierarchy uniqueName="[Sales].[التاريخ]" caption="التاريخ" attribute="1" time="1" defaultMemberUniqueName="[Sales].[التاريخ].[All]" allUniqueName="[Sales].[التاريخ].[All]" dimensionUniqueName="[Sales]" displayFolder="" count="0" memberValueDatatype="7" unbalanced="0"/>
    <cacheHierarchy uniqueName="[Sales].[اسم الصنف]" caption="اسم الصنف" attribute="1" defaultMemberUniqueName="[Sales].[اسم الصنف].[All]" allUniqueName="[Sales].[اسم الصنف].[All]" dimensionUniqueName="[Sales]" displayFolder="" count="0" memberValueDatatype="130" unbalanced="0"/>
    <cacheHierarchy uniqueName="[Sales].[سعر الشركة]" caption="سعر الشركة" attribute="1" defaultMemberUniqueName="[Sales].[سعر الشركة].[All]" allUniqueName="[Sales].[سعر الشركة].[All]" dimensionUniqueName="[Sales]" displayFolder="" count="0" memberValueDatatype="5" unbalanced="0"/>
    <cacheHierarchy uniqueName="[Sales].[الكمية]" caption="الكمية" attribute="1" defaultMemberUniqueName="[Sales].[الكمية].[All]" allUniqueName="[Sales].[الكمية].[All]" dimensionUniqueName="[Sales]" displayFolder="" count="0" memberValueDatatype="5" unbalanced="0"/>
    <cacheHierarchy uniqueName="[Sales].[سعر الشراء]" caption="سعر الشراء" attribute="1" defaultMemberUniqueName="[Sales].[سعر الشراء].[All]" allUniqueName="[Sales].[سعر الشراء].[All]" dimensionUniqueName="[Sales]" displayFolder="" count="0" memberValueDatatype="130" unbalanced="0"/>
    <cacheHierarchy uniqueName="[Sales].[سعر الوحدة]" caption="سعر الوحدة" attribute="1" defaultMemberUniqueName="[Sales].[سعر الوحدة].[All]" allUniqueName="[Sales].[سعر الوحدة].[All]" dimensionUniqueName="[Sales]" displayFolder="" count="0" memberValueDatatype="130" unbalanced="0"/>
    <cacheHierarchy uniqueName="[Sales].[قيمة خصم]" caption="قيمة خصم" attribute="1" defaultMemberUniqueName="[Sales].[قيمة خصم].[All]" allUniqueName="[Sales].[قيمة خصم].[All]" dimensionUniqueName="[Sales]" displayFolder="" count="0" memberValueDatatype="20" unbalanced="0"/>
    <cacheHierarchy uniqueName="[Sales].[السعر الصافى]" caption="السعر الصافى" attribute="1" defaultMemberUniqueName="[Sales].[السعر الصافى].[All]" allUniqueName="[Sales].[السعر الصافى].[All]" dimensionUniqueName="[Sales]" displayFolder="" count="0" memberValueDatatype="5" unbalanced="0"/>
    <cacheHierarchy uniqueName="[Sales].[التصنيف]" caption="التصنيف" attribute="1" defaultMemberUniqueName="[Sales].[التصنيف].[All]" allUniqueName="[Sales].[التصنيف].[All]" dimensionUniqueName="[Sales]" displayFolder="" count="0" memberValueDatatype="130" unbalanced="0"/>
    <cacheHierarchy uniqueName="[Sales].[نسبة العمولة]" caption="نسبة العمولة" attribute="1" defaultMemberUniqueName="[Sales].[نسبة العمولة].[All]" allUniqueName="[Sales].[نسبة العمولة].[All]" dimensionUniqueName="[Sales]" displayFolder="" count="0" memberValueDatatype="5" unbalanced="0"/>
    <cacheHierarchy uniqueName="[Sales].[العمولة]" caption="العمولة" attribute="1" defaultMemberUniqueName="[Sales].[العمولة].[All]" allUniqueName="[Sales].[العمولة].[All]" dimensionUniqueName="[Sales]" displayFolder="" count="0" memberValueDatatype="5" unbalanced="0"/>
    <cacheHierarchy uniqueName="[Sales].[سيارات]" caption="سيارات" attribute="1" defaultMemberUniqueName="[Sales].[سيارات].[All]" allUniqueName="[Sales].[سيارات].[All]" dimensionUniqueName="[Sales]" displayFolder="" count="0" memberValueDatatype="20" unbalanced="0"/>
    <cacheHierarchy uniqueName="[Sales].[حافز]" caption="حافز" attribute="1" defaultMemberUniqueName="[Sales].[حافز].[All]" allUniqueName="[Sales].[حافز].[All]" dimensionUniqueName="[Sales]" displayFolder="" count="0" memberValueDatatype="20" unbalanced="0"/>
    <cacheHierarchy uniqueName="[Sales].[اجمالى العمولة]" caption="اجمالى العمولة" attribute="1" defaultMemberUniqueName="[Sales].[اجمالى العمولة].[All]" allUniqueName="[Sales].[اجمالى العمولة].[All]" dimensionUniqueName="[Sales]" displayFolder="" count="0" memberValueDatatype="5" unbalanced="0"/>
    <cacheHierarchy uniqueName="[Sales].[الشهور]" caption="الشهور" attribute="1" defaultMemberUniqueName="[Sales].[الشهور].[All]" allUniqueName="[Sales].[الشهور].[All]" dimensionUniqueName="[Sales]" displayFolder="" count="2" memberValueDatatype="130" unbalanced="0"/>
    <cacheHierarchy uniqueName="[Sales].[رقم الطلبية]" caption="رقم الطلبية" attribute="1" defaultMemberUniqueName="[Sales].[رقم الطلبية].[All]" allUniqueName="[Sales].[رقم الطلبية].[All]" dimensionUniqueName="[Sales]" displayFolder="" count="0" memberValueDatatype="20" unbalanced="0"/>
    <cacheHierarchy uniqueName="[Target].[الشهور]" caption="الشهور" attribute="1" defaultMemberUniqueName="[Target].[الشهور].[All]" allUniqueName="[Target].[الشهور].[All]" dimensionUniqueName="[Target]" displayFolder="" count="0" memberValueDatatype="130" unbalanced="0"/>
    <cacheHierarchy uniqueName="[Target].[Target]" caption="Target" attribute="1" defaultMemberUniqueName="[Target].[Target].[All]" allUniqueName="[Target].[Target].[All]" dimensionUniqueName="[Target]" displayFolder="" count="0" memberValueDatatype="20" unbalanced="0"/>
    <cacheHierarchy uniqueName="[Measures].[__XL_Count Sales]" caption="__XL_Count Sales" measure="1" displayFolder="" measureGroup="Sales" count="0" hidden="1"/>
    <cacheHierarchy uniqueName="[Measures].[__XL_Count Target]" caption="__XL_Count Target" measure="1" displayFolder="" measureGroup="Target" count="0" hidden="1"/>
    <cacheHierarchy uniqueName="[Measures].[__No measures defined]" caption="__No measures defined" measure="1" displayFolder="" count="0" hidden="1"/>
    <cacheHierarchy uniqueName="[Measures].[Sum of رقم الطلبية]" caption="Sum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Distinct Count of رقم الطلبية]" caption="Distinct Count of رقم الطلبية" measure="1" displayFolder="" measureGroup="Sales" count="0" hidden="1">
      <extLst>
        <ext xmlns:x15="http://schemas.microsoft.com/office/spreadsheetml/2010/11/main" uri="{B97F6D7D-B522-45F9-BDA1-12C45D357490}">
          <x15:cacheHierarchy aggregatedColumn="16"/>
        </ext>
      </extLst>
    </cacheHierarchy>
    <cacheHierarchy uniqueName="[Measures].[Sum of سعر الشركة]" caption="Sum of سعر الشركة" measure="1" displayFolder="" measureGroup="Sales" count="0" hidden="1">
      <extLst>
        <ext xmlns:x15="http://schemas.microsoft.com/office/spreadsheetml/2010/11/main" uri="{B97F6D7D-B522-45F9-BDA1-12C45D357490}">
          <x15:cacheHierarchy aggregatedColumn="3"/>
        </ext>
      </extLst>
    </cacheHierarchy>
    <cacheHierarchy uniqueName="[Measures].[Sum of Target]" caption="Sum of Target" measure="1" displayFolder="" measureGroup="Target" count="0" hidden="1">
      <extLst>
        <ext xmlns:x15="http://schemas.microsoft.com/office/spreadsheetml/2010/11/main" uri="{B97F6D7D-B522-45F9-BDA1-12C45D357490}">
          <x15:cacheHierarchy aggregatedColumn="18"/>
        </ext>
      </extLst>
    </cacheHierarchy>
    <cacheHierarchy uniqueName="[Measures].[Count of اسم الصنف]" caption="Count of اسم الصنف" measure="1" displayFolder="" measureGroup="Sales" count="0" hidden="1">
      <extLst>
        <ext xmlns:x15="http://schemas.microsoft.com/office/spreadsheetml/2010/11/main" uri="{B97F6D7D-B522-45F9-BDA1-12C45D357490}">
          <x15:cacheHierarchy aggregatedColumn="2"/>
        </ext>
      </extLst>
    </cacheHierarchy>
    <cacheHierarchy uniqueName="[Measures].[Sum of الكمية]" caption="Sum of الكمية" measure="1" displayFolder="" measureGroup="Sales" count="0" hidden="1">
      <extLst>
        <ext xmlns:x15="http://schemas.microsoft.com/office/spreadsheetml/2010/11/main" uri="{B97F6D7D-B522-45F9-BDA1-12C45D357490}">
          <x15:cacheHierarchy aggregatedColumn="4"/>
        </ext>
      </extLst>
    </cacheHierarchy>
    <cacheHierarchy uniqueName="[Measures].[Count of الشهور]" caption="Count of الشهور" measure="1" displayFolder="" measureGroup="Sales" count="0" hidden="1">
      <extLst>
        <ext xmlns:x15="http://schemas.microsoft.com/office/spreadsheetml/2010/11/main" uri="{B97F6D7D-B522-45F9-BDA1-12C45D357490}">
          <x15:cacheHierarchy aggregatedColumn="15"/>
        </ext>
      </extLst>
    </cacheHierarchy>
    <cacheHierarchy uniqueName="[Measures].[Count of سعر الشراء]" caption="Count of سعر الشراء" measure="1" displayFolder="" measureGroup="Sales"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34861661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42D0036-4D6B-4DC5-95FF-0EC9645FEF03}" name="PivotTable6"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3:A34" firstHeaderRow="1" firstDataRow="1" firstDataCol="0" rowPageCount="1" colPageCount="1"/>
  <pivotFields count="3">
    <pivotField axis="axisPage"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pageFields count="1">
    <pageField fld="0" hier="9" name="[Sales].[التصنيف].&amp;[عصير]" cap="عصير"/>
  </pageFields>
  <dataFields count="1">
    <dataField name="Sum of سعر الشركة" fld="1" baseField="0" baseItem="0" numFmtId="166"/>
  </dataFields>
  <formats count="5">
    <format dxfId="4">
      <pivotArea outline="0" collapsedLevelsAreSubtotals="1" fieldPosition="0"/>
    </format>
    <format dxfId="3">
      <pivotArea outline="0" collapsedLevelsAreSubtotals="1" fieldPosition="0"/>
    </format>
    <format dxfId="2">
      <pivotArea dataOnly="0" fieldPosition="0">
        <references count="1">
          <reference field="0" count="0"/>
        </references>
      </pivotArea>
    </format>
    <format dxfId="1">
      <pivotArea dataOnly="0" fieldPosition="0">
        <references count="1">
          <reference field="0" count="0"/>
        </references>
      </pivotArea>
    </format>
    <format dxfId="0">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رقم الطلبية"/>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2025.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7B359A-DFE2-4627-B137-F3A5CC1FA430}" name="PivotTable10" cacheId="1" applyNumberFormats="0" applyBorderFormats="0" applyFontFormats="0" applyPatternFormats="0" applyAlignmentFormats="0" applyWidthHeightFormats="1" dataCaption="Values" tag="6cc56759-5a49-4b70-9a56-837e7bea36aa" updatedVersion="8" minRefreshableVersion="3" useAutoFormatting="1" itemPrintTitles="1" createdVersion="8" indent="0" outline="1" outlineData="1" multipleFieldFilters="0" chartFormat="3">
  <location ref="N3:P8" firstHeaderRow="0" firstDataRow="1" firstDataCol="1"/>
  <pivotFields count="4">
    <pivotField allDrilled="1" subtotalTop="0" showAll="0" sortType="ascending" defaultSubtotal="0" defaultAttributeDrillState="1">
      <items count="12">
        <item x="9"/>
        <item x="5"/>
        <item x="6"/>
        <item x="0"/>
        <item x="7"/>
        <item x="10"/>
        <item x="1"/>
        <item x="4"/>
        <item x="2"/>
        <item x="8"/>
        <item x="3"/>
        <item x="11"/>
      </items>
    </pivotField>
    <pivotField dataField="1" subtotalTop="0" showAll="0" defaultSubtotal="0"/>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5">
    <i>
      <x v="2"/>
    </i>
    <i>
      <x v="3"/>
    </i>
    <i>
      <x v="1"/>
    </i>
    <i>
      <x/>
    </i>
    <i t="grand">
      <x/>
    </i>
  </rowItems>
  <colFields count="1">
    <field x="-2"/>
  </colFields>
  <colItems count="2">
    <i>
      <x/>
    </i>
    <i i="1">
      <x v="1"/>
    </i>
  </colItems>
  <dataFields count="2">
    <dataField name="المبلغ" fld="1" baseField="2" baseItem="2" numFmtId="3"/>
    <dataField name="النسبة" fld="3" showDataAs="percentOfTotal" baseField="0" baseItem="0" numFmtId="10">
      <extLst>
        <ext xmlns:x14="http://schemas.microsoft.com/office/spreadsheetml/2009/9/main" uri="{E15A36E0-9728-4e99-A89B-3F7291B0FE68}">
          <x14:dataField sourceField="1" uniqueName="[__Xl2].[Measures].[Sum of سعر الشركة]"/>
        </ext>
      </extLst>
    </dataField>
  </dataFields>
  <formats count="18">
    <format dxfId="22">
      <pivotArea outline="0" collapsedLevelsAreSubtotals="1" fieldPosition="0"/>
    </format>
    <format dxfId="21">
      <pivotArea outline="0" collapsedLevelsAreSubtotals="1" fieldPosition="0"/>
    </format>
    <format dxfId="20">
      <pivotArea outline="0" collapsedLevelsAreSubtotals="1" fieldPosition="0"/>
    </format>
    <format dxfId="19">
      <pivotArea dataOnly="0" labelOnly="1" fieldPosition="0">
        <references count="1">
          <reference field="2" count="0"/>
        </references>
      </pivotArea>
    </format>
    <format dxfId="18">
      <pivotArea dataOnly="0" labelOnly="1" fieldPosition="0">
        <references count="1">
          <reference field="2" count="0"/>
        </references>
      </pivotArea>
    </format>
    <format dxfId="17">
      <pivotArea outline="0" fieldPosition="0">
        <references count="1">
          <reference field="4294967294" count="1">
            <x v="1"/>
          </reference>
        </references>
      </pivotArea>
    </format>
    <format dxfId="16">
      <pivotArea type="all" dataOnly="0" outline="0" fieldPosition="0"/>
    </format>
    <format dxfId="15">
      <pivotArea outline="0" collapsedLevelsAreSubtotals="1" fieldPosition="0"/>
    </format>
    <format dxfId="14">
      <pivotArea field="2" type="button" dataOnly="0" labelOnly="1" outline="0" axis="axisRow" fieldPosition="0"/>
    </format>
    <format dxfId="13">
      <pivotArea dataOnly="0" labelOnly="1" fieldPosition="0">
        <references count="1">
          <reference field="2" count="0"/>
        </references>
      </pivotArea>
    </format>
    <format dxfId="12">
      <pivotArea dataOnly="0" labelOnly="1" grandRow="1" outline="0" fieldPosition="0"/>
    </format>
    <format dxfId="11">
      <pivotArea dataOnly="0" labelOnly="1" outline="0" fieldPosition="0">
        <references count="1">
          <reference field="4294967294" count="2">
            <x v="0"/>
            <x v="1"/>
          </reference>
        </references>
      </pivotArea>
    </format>
    <format dxfId="10">
      <pivotArea type="all" dataOnly="0" outline="0" fieldPosition="0"/>
    </format>
    <format dxfId="9">
      <pivotArea outline="0" collapsedLevelsAreSubtotals="1" fieldPosition="0"/>
    </format>
    <format dxfId="8">
      <pivotArea field="2" type="button" dataOnly="0" labelOnly="1" outline="0" axis="axisRow" fieldPosition="0"/>
    </format>
    <format dxfId="7">
      <pivotArea dataOnly="0" labelOnly="1" fieldPosition="0">
        <references count="1">
          <reference field="2" count="0"/>
        </references>
      </pivotArea>
    </format>
    <format dxfId="6">
      <pivotArea dataOnly="0" labelOnly="1" grandRow="1" outline="0" fieldPosition="0"/>
    </format>
    <format dxfId="5">
      <pivotArea dataOnly="0" labelOnly="1" outline="0" fieldPosition="0">
        <references count="1">
          <reference field="4294967294" count="2">
            <x v="0"/>
            <x v="1"/>
          </reference>
        </references>
      </pivotArea>
    </format>
  </formats>
  <chartFormats count="20">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2"/>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 chart="0" format="4">
      <pivotArea type="data" outline="0" fieldPosition="0">
        <references count="2">
          <reference field="4294967294" count="1" selected="0">
            <x v="0"/>
          </reference>
          <reference field="2" count="1" selected="0">
            <x v="0"/>
          </reference>
        </references>
      </pivotArea>
    </chartFormat>
    <chartFormat chart="0" format="5">
      <pivotArea type="data" outline="0" fieldPosition="0">
        <references count="2">
          <reference field="4294967294" count="1" selected="0">
            <x v="0"/>
          </reference>
          <reference field="2" count="1" selected="0">
            <x v="3"/>
          </reference>
        </references>
      </pivotArea>
    </chartFormat>
    <chartFormat chart="0" format="6">
      <pivotArea type="data" outline="0" fieldPosition="0">
        <references count="2">
          <reference field="4294967294" count="1" selected="0">
            <x v="1"/>
          </reference>
          <reference field="2" count="1" selected="0">
            <x v="2"/>
          </reference>
        </references>
      </pivotArea>
    </chartFormat>
    <chartFormat chart="0" format="7">
      <pivotArea type="data" outline="0" fieldPosition="0">
        <references count="2">
          <reference field="4294967294" count="1" selected="0">
            <x v="1"/>
          </reference>
          <reference field="2" count="1" selected="0">
            <x v="3"/>
          </reference>
        </references>
      </pivotArea>
    </chartFormat>
    <chartFormat chart="0" format="8">
      <pivotArea type="data" outline="0" fieldPosition="0">
        <references count="2">
          <reference field="4294967294" count="1" selected="0">
            <x v="1"/>
          </reference>
          <reference field="2" count="1" selected="0">
            <x v="1"/>
          </reference>
        </references>
      </pivotArea>
    </chartFormat>
    <chartFormat chart="0" format="9">
      <pivotArea type="data" outline="0" fieldPosition="0">
        <references count="2">
          <reference field="4294967294" count="1" selected="0">
            <x v="1"/>
          </reference>
          <reference field="2" count="1" selected="0">
            <x v="0"/>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2" count="1" selected="0">
            <x v="2"/>
          </reference>
        </references>
      </pivotArea>
    </chartFormat>
    <chartFormat chart="2" format="22">
      <pivotArea type="data" outline="0" fieldPosition="0">
        <references count="2">
          <reference field="4294967294" count="1" selected="0">
            <x v="0"/>
          </reference>
          <reference field="2" count="1" selected="0">
            <x v="3"/>
          </reference>
        </references>
      </pivotArea>
    </chartFormat>
    <chartFormat chart="2" format="23">
      <pivotArea type="data" outline="0" fieldPosition="0">
        <references count="2">
          <reference field="4294967294" count="1" selected="0">
            <x v="0"/>
          </reference>
          <reference field="2" count="1" selected="0">
            <x v="1"/>
          </reference>
        </references>
      </pivotArea>
    </chartFormat>
    <chartFormat chart="2" format="24">
      <pivotArea type="data" outline="0" fieldPosition="0">
        <references count="2">
          <reference field="4294967294" count="1" selected="0">
            <x v="0"/>
          </reference>
          <reference field="2" count="1" selected="0">
            <x v="0"/>
          </reference>
        </references>
      </pivotArea>
    </chartFormat>
    <chartFormat chart="2" format="25" series="1">
      <pivotArea type="data" outline="0" fieldPosition="0">
        <references count="1">
          <reference field="4294967294" count="1" selected="0">
            <x v="1"/>
          </reference>
        </references>
      </pivotArea>
    </chartFormat>
    <chartFormat chart="2" format="26">
      <pivotArea type="data" outline="0" fieldPosition="0">
        <references count="2">
          <reference field="4294967294" count="1" selected="0">
            <x v="1"/>
          </reference>
          <reference field="2" count="1" selected="0">
            <x v="2"/>
          </reference>
        </references>
      </pivotArea>
    </chartFormat>
    <chartFormat chart="2" format="27">
      <pivotArea type="data" outline="0" fieldPosition="0">
        <references count="2">
          <reference field="4294967294" count="1" selected="0">
            <x v="1"/>
          </reference>
          <reference field="2" count="1" selected="0">
            <x v="3"/>
          </reference>
        </references>
      </pivotArea>
    </chartFormat>
    <chartFormat chart="2" format="28">
      <pivotArea type="data" outline="0" fieldPosition="0">
        <references count="2">
          <reference field="4294967294" count="1" selected="0">
            <x v="1"/>
          </reference>
          <reference field="2" count="1" selected="0">
            <x v="1"/>
          </reference>
        </references>
      </pivotArea>
    </chartFormat>
    <chartFormat chart="2" format="29">
      <pivotArea type="data" outline="0" fieldPosition="0">
        <references count="2">
          <reference field="4294967294" count="1" selected="0">
            <x v="1"/>
          </reference>
          <reference field="2" count="1" selected="0">
            <x v="0"/>
          </reference>
        </references>
      </pivotArea>
    </chartFormat>
  </chartFormats>
  <pivotHierarchies count="3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رقم الطلبية"/>
    <pivotHierarchy dragToData="1" caption="النسبة"/>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4" showRowHeaders="1" showColHeaders="1" showRowStripes="1" showColStripes="1"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2025.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80557F-3C98-45CC-978D-B4777F0D8333}" name="PivotTable2" cacheId="7" applyNumberFormats="0" applyBorderFormats="0" applyFontFormats="0" applyPatternFormats="0" applyAlignmentFormats="0" applyWidthHeightFormats="1" dataCaption="Values" tag="e6b98678-e936-40a4-bd19-fed0665bd61c" updatedVersion="8" minRefreshableVersion="3" useAutoFormatting="1" itemPrintTitles="1" createdVersion="8" indent="0" outline="1" outlineData="1" multipleFieldFilters="0">
  <location ref="A9:A10"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سعر الشركة" fld="0" baseField="0" baseItem="0" numFmtId="166"/>
  </dataFields>
  <formats count="2">
    <format dxfId="24">
      <pivotArea outline="0" collapsedLevelsAreSubtotals="1" fieldPosition="0"/>
    </format>
    <format dxfId="23">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رقم الطلبية"/>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2025.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607791-EF8B-43B4-8D5D-041CDF31730D}" name="PivotTable13" cacheId="4" applyNumberFormats="0" applyBorderFormats="0" applyFontFormats="0" applyPatternFormats="0" applyAlignmentFormats="0" applyWidthHeightFormats="1" dataCaption="Values" tag="6511eaf6-0dbf-4649-b37a-52c9bf066859" updatedVersion="8" minRefreshableVersion="3" useAutoFormatting="1" itemPrintTitles="1" createdVersion="8" indent="0" outline="1" outlineData="1" multipleFieldFilters="0" chartFormat="5">
  <location ref="AL3:AN10" firstHeaderRow="0" firstDataRow="1" firstDataCol="1"/>
  <pivotFields count="4">
    <pivotField allDrilled="1" subtotalTop="0" showAll="0" sortType="ascending" defaultSubtotal="0" defaultAttributeDrillState="1">
      <items count="12">
        <item x="9"/>
        <item x="5"/>
        <item x="6"/>
        <item x="0"/>
        <item x="7"/>
        <item x="10"/>
        <item x="1"/>
        <item x="4"/>
        <item x="2"/>
        <item x="8"/>
        <item x="3"/>
        <item x="11"/>
      </items>
    </pivotField>
    <pivotField axis="axisRow" allDrilled="1" subtotalTop="0" showAll="0" sortType="descending" defaultSubtotal="0" defaultAttributeDrillState="1">
      <items count="6">
        <item s="1" x="0"/>
        <item s="1" x="1"/>
        <item s="1" x="2"/>
        <item s="1" x="3"/>
        <item s="1" x="4"/>
        <item s="1" x="5"/>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1"/>
  </rowFields>
  <rowItems count="7">
    <i>
      <x v="1"/>
    </i>
    <i>
      <x v="4"/>
    </i>
    <i>
      <x/>
    </i>
    <i>
      <x v="3"/>
    </i>
    <i>
      <x v="2"/>
    </i>
    <i>
      <x v="5"/>
    </i>
    <i t="grand">
      <x/>
    </i>
  </rowItems>
  <colFields count="1">
    <field x="-2"/>
  </colFields>
  <colItems count="2">
    <i>
      <x/>
    </i>
    <i i="1">
      <x v="1"/>
    </i>
  </colItems>
  <dataFields count="2">
    <dataField name="المبلغ" fld="2" baseField="1" baseItem="1"/>
    <dataField name=" الكمية" fld="3" baseField="1" baseItem="1"/>
  </dataFields>
  <formats count="17">
    <format dxfId="41">
      <pivotArea outline="0" collapsedLevelsAreSubtotals="1" fieldPosition="0"/>
    </format>
    <format dxfId="40">
      <pivotArea outline="0" collapsedLevelsAreSubtotals="1" fieldPosition="0"/>
    </format>
    <format dxfId="39">
      <pivotArea outline="0" collapsedLevelsAreSubtotals="1" fieldPosition="0"/>
    </format>
    <format dxfId="38">
      <pivotArea dataOnly="0" labelOnly="1" fieldPosition="0">
        <references count="1">
          <reference field="1" count="0"/>
        </references>
      </pivotArea>
    </format>
    <format dxfId="37">
      <pivotArea dataOnly="0" labelOnly="1" fieldPosition="0">
        <references count="1">
          <reference field="1" count="0"/>
        </references>
      </pivotArea>
    </format>
    <format dxfId="36">
      <pivotArea type="all" dataOnly="0" outline="0" fieldPosition="0"/>
    </format>
    <format dxfId="35">
      <pivotArea outline="0" collapsedLevelsAreSubtotals="1" fieldPosition="0"/>
    </format>
    <format dxfId="34">
      <pivotArea field="1" type="button" dataOnly="0" labelOnly="1" outline="0" axis="axisRow" fieldPosition="0"/>
    </format>
    <format dxfId="33">
      <pivotArea dataOnly="0" labelOnly="1" fieldPosition="0">
        <references count="1">
          <reference field="1" count="0"/>
        </references>
      </pivotArea>
    </format>
    <format dxfId="32">
      <pivotArea dataOnly="0" labelOnly="1" grandRow="1" outline="0" fieldPosition="0"/>
    </format>
    <format dxfId="31">
      <pivotArea dataOnly="0" labelOnly="1" outline="0" fieldPosition="0">
        <references count="1">
          <reference field="4294967294" count="2">
            <x v="0"/>
            <x v="1"/>
          </reference>
        </references>
      </pivotArea>
    </format>
    <format dxfId="30">
      <pivotArea type="all" dataOnly="0" outline="0" fieldPosition="0"/>
    </format>
    <format dxfId="29">
      <pivotArea outline="0" collapsedLevelsAreSubtotals="1" fieldPosition="0"/>
    </format>
    <format dxfId="28">
      <pivotArea field="1" type="button" dataOnly="0" labelOnly="1" outline="0" axis="axisRow" fieldPosition="0"/>
    </format>
    <format dxfId="27">
      <pivotArea dataOnly="0" labelOnly="1" fieldPosition="0">
        <references count="1">
          <reference field="1" count="0"/>
        </references>
      </pivotArea>
    </format>
    <format dxfId="26">
      <pivotArea dataOnly="0" labelOnly="1" grandRow="1" outline="0" fieldPosition="0"/>
    </format>
    <format dxfId="25">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رقم الطلبية"/>
    <pivotHierarchy dragToData="1" caption="المبلغ"/>
    <pivotHierarchy dragToData="1"/>
    <pivotHierarchy dragToData="1"/>
    <pivotHierarchy dragToData="1" caption=" الكمية"/>
    <pivotHierarchy dragToData="1"/>
    <pivotHierarchy dragToData="1"/>
  </pivotHierarchies>
  <pivotTableStyleInfo name="PivotStyleDark28" showRowHeaders="1" showColHeaders="1" showRowStripes="1" showColStripes="1"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2025.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0A2325B-A08F-4BD9-A93F-C16A9F7EFF89}" name="PivotTable11" cacheId="2" applyNumberFormats="0" applyBorderFormats="0" applyFontFormats="0" applyPatternFormats="0" applyAlignmentFormats="0" applyWidthHeightFormats="1" dataCaption="Values" tag="468d6a41-e131-401f-867b-6a04333cfb59" updatedVersion="8" minRefreshableVersion="3" useAutoFormatting="1" itemPrintTitles="1" createdVersion="8" indent="0" outline="1" outlineData="1" multipleFieldFilters="0" chartFormat="3">
  <location ref="W3:Y21" firstHeaderRow="0" firstDataRow="1" firstDataCol="1"/>
  <pivotFields count="4">
    <pivotField allDrilled="1" subtotalTop="0" showAll="0" sortType="ascending" defaultSubtotal="0" defaultAttributeDrillState="1"/>
    <pivotField axis="axisRow" allDrilled="1" subtotalTop="0" showAll="0" sortType="descending" defaultSubtotal="0" defaultAttributeDrillState="1">
      <items count="17">
        <item s="1" x="0"/>
        <item s="1" x="1"/>
        <item s="1" x="2"/>
        <item s="1" x="3"/>
        <item s="1" x="4"/>
        <item s="1" x="5"/>
        <item s="1" x="6"/>
        <item s="1" x="7"/>
        <item s="1" x="8"/>
        <item s="1" x="9"/>
        <item s="1" x="10"/>
        <item s="1" x="11"/>
        <item s="1" x="12"/>
        <item s="1" x="13"/>
        <item s="1" x="14"/>
        <item s="1" x="15"/>
        <item s="1" x="16"/>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1"/>
  </rowFields>
  <rowItems count="18">
    <i>
      <x v="11"/>
    </i>
    <i>
      <x v="10"/>
    </i>
    <i>
      <x v="15"/>
    </i>
    <i>
      <x v="16"/>
    </i>
    <i>
      <x/>
    </i>
    <i>
      <x v="7"/>
    </i>
    <i>
      <x v="9"/>
    </i>
    <i>
      <x v="12"/>
    </i>
    <i>
      <x v="2"/>
    </i>
    <i>
      <x v="3"/>
    </i>
    <i>
      <x v="1"/>
    </i>
    <i>
      <x v="4"/>
    </i>
    <i>
      <x v="8"/>
    </i>
    <i>
      <x v="13"/>
    </i>
    <i>
      <x v="5"/>
    </i>
    <i>
      <x v="14"/>
    </i>
    <i>
      <x v="6"/>
    </i>
    <i t="grand">
      <x/>
    </i>
  </rowItems>
  <colFields count="1">
    <field x="-2"/>
  </colFields>
  <colItems count="2">
    <i>
      <x/>
    </i>
    <i i="1">
      <x v="1"/>
    </i>
  </colItems>
  <dataFields count="2">
    <dataField name="المبلغ" fld="2" baseField="1" baseItem="11"/>
    <dataField name=" الكمية" fld="3" baseField="1" baseItem="11"/>
  </dataFields>
  <formats count="29">
    <format dxfId="70">
      <pivotArea outline="0" collapsedLevelsAreSubtotals="1" fieldPosition="0"/>
    </format>
    <format dxfId="69">
      <pivotArea outline="0" collapsedLevelsAreSubtotals="1" fieldPosition="0"/>
    </format>
    <format dxfId="68">
      <pivotArea outline="0" collapsedLevelsAreSubtotals="1" fieldPosition="0"/>
    </format>
    <format dxfId="67">
      <pivotArea dataOnly="0" labelOnly="1" fieldPosition="0">
        <references count="1">
          <reference field="1" count="0"/>
        </references>
      </pivotArea>
    </format>
    <format dxfId="66">
      <pivotArea dataOnly="0" labelOnly="1" fieldPosition="0">
        <references count="1">
          <reference field="1" count="0"/>
        </references>
      </pivotArea>
    </format>
    <format dxfId="65">
      <pivotArea type="all" dataOnly="0" outline="0" fieldPosition="0"/>
    </format>
    <format dxfId="64">
      <pivotArea outline="0" collapsedLevelsAreSubtotals="1" fieldPosition="0"/>
    </format>
    <format dxfId="63">
      <pivotArea field="1" type="button" dataOnly="0" labelOnly="1" outline="0" axis="axisRow" fieldPosition="0"/>
    </format>
    <format dxfId="62">
      <pivotArea dataOnly="0" labelOnly="1" fieldPosition="0">
        <references count="1">
          <reference field="1" count="0"/>
        </references>
      </pivotArea>
    </format>
    <format dxfId="61">
      <pivotArea dataOnly="0" labelOnly="1" grandRow="1" outline="0" fieldPosition="0"/>
    </format>
    <format dxfId="60">
      <pivotArea dataOnly="0" labelOnly="1" outline="0" fieldPosition="0">
        <references count="1">
          <reference field="4294967294" count="2">
            <x v="0"/>
            <x v="1"/>
          </reference>
        </references>
      </pivotArea>
    </format>
    <format dxfId="59">
      <pivotArea type="all" dataOnly="0" outline="0" fieldPosition="0"/>
    </format>
    <format dxfId="58">
      <pivotArea outline="0" collapsedLevelsAreSubtotals="1" fieldPosition="0"/>
    </format>
    <format dxfId="57">
      <pivotArea field="1" type="button" dataOnly="0" labelOnly="1" outline="0" axis="axisRow" fieldPosition="0"/>
    </format>
    <format dxfId="56">
      <pivotArea dataOnly="0" labelOnly="1" fieldPosition="0">
        <references count="1">
          <reference field="1" count="0"/>
        </references>
      </pivotArea>
    </format>
    <format dxfId="55">
      <pivotArea dataOnly="0" labelOnly="1" grandRow="1" outline="0" fieldPosition="0"/>
    </format>
    <format dxfId="54">
      <pivotArea dataOnly="0" labelOnly="1" outline="0" fieldPosition="0">
        <references count="1">
          <reference field="4294967294" count="2">
            <x v="0"/>
            <x v="1"/>
          </reference>
        </references>
      </pivotArea>
    </format>
    <format dxfId="53">
      <pivotArea type="all" dataOnly="0" outline="0" fieldPosition="0"/>
    </format>
    <format dxfId="52">
      <pivotArea outline="0" collapsedLevelsAreSubtotals="1" fieldPosition="0"/>
    </format>
    <format dxfId="51">
      <pivotArea field="1" type="button" dataOnly="0" labelOnly="1" outline="0" axis="axisRow" fieldPosition="0"/>
    </format>
    <format dxfId="50">
      <pivotArea dataOnly="0" labelOnly="1" fieldPosition="0">
        <references count="1">
          <reference field="1" count="0"/>
        </references>
      </pivotArea>
    </format>
    <format dxfId="49">
      <pivotArea dataOnly="0" labelOnly="1" grandRow="1" outline="0" fieldPosition="0"/>
    </format>
    <format dxfId="48">
      <pivotArea dataOnly="0" labelOnly="1" outline="0" fieldPosition="0">
        <references count="1">
          <reference field="4294967294" count="2">
            <x v="0"/>
            <x v="1"/>
          </reference>
        </references>
      </pivotArea>
    </format>
    <format dxfId="47">
      <pivotArea type="all" dataOnly="0" outline="0" fieldPosition="0"/>
    </format>
    <format dxfId="46">
      <pivotArea outline="0" collapsedLevelsAreSubtotals="1" fieldPosition="0"/>
    </format>
    <format dxfId="45">
      <pivotArea field="1" type="button" dataOnly="0" labelOnly="1" outline="0" axis="axisRow" fieldPosition="0"/>
    </format>
    <format dxfId="44">
      <pivotArea dataOnly="0" labelOnly="1" fieldPosition="0">
        <references count="1">
          <reference field="1" count="0"/>
        </references>
      </pivotArea>
    </format>
    <format dxfId="43">
      <pivotArea dataOnly="0" labelOnly="1" grandRow="1" outline="0" fieldPosition="0"/>
    </format>
    <format dxfId="42">
      <pivotArea dataOnly="0" labelOnly="1" outline="0" fieldPosition="0">
        <references count="1">
          <reference field="4294967294" count="2">
            <x v="0"/>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رقم الطلبية"/>
    <pivotHierarchy dragToData="1" caption="المبلغ"/>
    <pivotHierarchy dragToData="1"/>
    <pivotHierarchy dragToData="1"/>
    <pivotHierarchy dragToData="1" caption=" الكمية"/>
    <pivotHierarchy dragToData="1"/>
    <pivotHierarchy dragToData="1"/>
  </pivotHierarchies>
  <pivotTableStyleInfo name="PivotStyleLight13" showRowHeaders="1" showColHeaders="1" showRowStripes="1" showColStripes="1"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2025.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AFAF02B-0C95-4D6E-AB21-29B2889B6B75}" name="PivotTable8"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7:A48" firstHeaderRow="1" firstDataRow="1" firstDataCol="0" rowPageCount="1" colPageCount="1"/>
  <pivotFields count="3">
    <pivotField axis="axisPage"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pageFields count="1">
    <pageField fld="0" hier="9" name="[Sales].[التصنيف].&amp;[جبنة]" cap="جبنة"/>
  </pageFields>
  <dataFields count="1">
    <dataField name="Sum of سعر الشركة" fld="1" baseField="0" baseItem="0" numFmtId="166"/>
  </dataFields>
  <formats count="5">
    <format dxfId="75">
      <pivotArea outline="0" collapsedLevelsAreSubtotals="1" fieldPosition="0"/>
    </format>
    <format dxfId="74">
      <pivotArea outline="0" collapsedLevelsAreSubtotals="1" fieldPosition="0"/>
    </format>
    <format dxfId="73">
      <pivotArea dataOnly="0" fieldPosition="0">
        <references count="1">
          <reference field="0" count="0"/>
        </references>
      </pivotArea>
    </format>
    <format dxfId="72">
      <pivotArea dataOnly="0" fieldPosition="0">
        <references count="1">
          <reference field="0" count="0"/>
        </references>
      </pivotArea>
    </format>
    <format dxfId="71">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رقم الطلبية"/>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2025.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D24E4D7-D9D7-4FE4-AF16-96473FAF0BE5}" name="PivotTable14" cacheId="5" applyNumberFormats="0" applyBorderFormats="0" applyFontFormats="0" applyPatternFormats="0" applyAlignmentFormats="0" applyWidthHeightFormats="1" dataCaption="Values" tag="5f7578dc-4079-47cf-8000-cc5debb6f8a1" updatedVersion="8" minRefreshableVersion="3" useAutoFormatting="1" itemPrintTitles="1" createdVersion="8" indent="0" outline="1" outlineData="1" multipleFieldFilters="0" chartFormat="6">
  <location ref="AT3:AV9" firstHeaderRow="0" firstDataRow="1" firstDataCol="1"/>
  <pivotFields count="4">
    <pivotField allDrilled="1" subtotalTop="0" showAll="0" sortType="ascending" defaultSubtotal="0" defaultAttributeDrillState="1">
      <items count="12">
        <item x="9"/>
        <item x="5"/>
        <item x="6"/>
        <item x="0"/>
        <item x="7"/>
        <item x="10"/>
        <item x="1"/>
        <item x="4"/>
        <item x="2"/>
        <item x="8"/>
        <item x="3"/>
        <item x="11"/>
      </items>
    </pivotField>
    <pivotField axis="axisRow" allDrilled="1" subtotalTop="0" showAll="0" sortType="descending" defaultSubtotal="0" defaultAttributeDrillState="1">
      <items count="5">
        <item s="1" x="0"/>
        <item s="1" x="1"/>
        <item s="1" x="2"/>
        <item s="1" x="3"/>
        <item s="1" x="4"/>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1"/>
  </rowFields>
  <rowItems count="6">
    <i>
      <x v="3"/>
    </i>
    <i>
      <x v="2"/>
    </i>
    <i>
      <x v="1"/>
    </i>
    <i>
      <x/>
    </i>
    <i>
      <x v="4"/>
    </i>
    <i t="grand">
      <x/>
    </i>
  </rowItems>
  <colFields count="1">
    <field x="-2"/>
  </colFields>
  <colItems count="2">
    <i>
      <x/>
    </i>
    <i i="1">
      <x v="1"/>
    </i>
  </colItems>
  <dataFields count="2">
    <dataField name="المبلغ" fld="2" baseField="1" baseItem="3"/>
    <dataField name=" الكمية" fld="3" baseField="1" baseItem="3"/>
  </dataFields>
  <formats count="5">
    <format dxfId="80">
      <pivotArea outline="0" collapsedLevelsAreSubtotals="1" fieldPosition="0"/>
    </format>
    <format dxfId="79">
      <pivotArea outline="0" collapsedLevelsAreSubtotals="1" fieldPosition="0"/>
    </format>
    <format dxfId="78">
      <pivotArea outline="0" collapsedLevelsAreSubtotals="1" fieldPosition="0"/>
    </format>
    <format dxfId="77">
      <pivotArea dataOnly="0" labelOnly="1" fieldPosition="0">
        <references count="1">
          <reference field="1" count="0"/>
        </references>
      </pivotArea>
    </format>
    <format dxfId="76">
      <pivotArea dataOnly="0" labelOnly="1" fieldPosition="0">
        <references count="1">
          <reference field="1" count="0"/>
        </references>
      </pivotArea>
    </format>
  </format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1"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رقم الطلبية"/>
    <pivotHierarchy dragToData="1" caption="المبلغ"/>
    <pivotHierarchy dragToData="1"/>
    <pivotHierarchy dragToData="1"/>
    <pivotHierarchy dragToData="1" caption=" الكمية"/>
    <pivotHierarchy dragToData="1"/>
    <pivotHierarchy dragToData="1"/>
  </pivotHierarchies>
  <pivotTableStyleInfo name="PivotStyleDark12" showRowHeaders="1" showColHeaders="1" showRowStripes="1" showColStripes="1"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2025.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7F2512F1-E0AD-4DB5-8D61-8C94E9A8A7CC}" name="PivotTable1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C3:BD16" firstHeaderRow="1" firstDataRow="1" firstDataCol="1"/>
  <pivotFields count="3">
    <pivotField axis="axisRow" allDrilled="1" subtotalTop="0" showAll="0" sortType="ascending" defaultSubtotal="0" defaultAttributeDrillState="1">
      <items count="12">
        <item x="9"/>
        <item x="5"/>
        <item x="6"/>
        <item x="0"/>
        <item x="7"/>
        <item x="11"/>
        <item x="10"/>
        <item x="1"/>
        <item x="4"/>
        <item x="2"/>
        <item x="8"/>
        <item x="3"/>
      </items>
    </pivotField>
    <pivotField allDrilled="1" subtotalTop="0" showAll="0" defaultSubtotal="0" defaultAttributeDrillState="1">
      <items count="5">
        <item s="1" x="0"/>
        <item s="1" x="1"/>
        <item s="1" x="2"/>
        <item s="1" x="3"/>
        <item s="1" x="4"/>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المبلغ" fld="2" showDataAs="difference" baseField="0" baseItem="1048828"/>
  </dataFields>
  <formats count="21">
    <format dxfId="101">
      <pivotArea outline="0" collapsedLevelsAreSubtotals="1" fieldPosition="0"/>
    </format>
    <format dxfId="100">
      <pivotArea outline="0" collapsedLevelsAreSubtotals="1" fieldPosition="0"/>
    </format>
    <format dxfId="99">
      <pivotArea outline="0" collapsedLevelsAreSubtotals="1" fieldPosition="0"/>
    </format>
    <format dxfId="98">
      <pivotArea type="all" dataOnly="0" outline="0" fieldPosition="0"/>
    </format>
    <format dxfId="97">
      <pivotArea outline="0" collapsedLevelsAreSubtotals="1" fieldPosition="0"/>
    </format>
    <format dxfId="96">
      <pivotArea field="0" type="button" dataOnly="0" labelOnly="1" outline="0" axis="axisRow" fieldPosition="0"/>
    </format>
    <format dxfId="95">
      <pivotArea dataOnly="0" labelOnly="1" fieldPosition="0">
        <references count="1">
          <reference field="0" count="0"/>
        </references>
      </pivotArea>
    </format>
    <format dxfId="94">
      <pivotArea dataOnly="0" labelOnly="1" grandRow="1" outline="0" fieldPosition="0"/>
    </format>
    <format dxfId="93">
      <pivotArea dataOnly="0" labelOnly="1" outline="0" axis="axisValues" fieldPosition="0"/>
    </format>
    <format dxfId="92">
      <pivotArea type="all" dataOnly="0" outline="0" fieldPosition="0"/>
    </format>
    <format dxfId="91">
      <pivotArea outline="0" collapsedLevelsAreSubtotals="1" fieldPosition="0"/>
    </format>
    <format dxfId="90">
      <pivotArea field="0" type="button" dataOnly="0" labelOnly="1" outline="0" axis="axisRow" fieldPosition="0"/>
    </format>
    <format dxfId="89">
      <pivotArea dataOnly="0" labelOnly="1" fieldPosition="0">
        <references count="1">
          <reference field="0" count="0"/>
        </references>
      </pivotArea>
    </format>
    <format dxfId="88">
      <pivotArea dataOnly="0" labelOnly="1" grandRow="1" outline="0" fieldPosition="0"/>
    </format>
    <format dxfId="87">
      <pivotArea dataOnly="0" labelOnly="1" outline="0" axis="axisValues" fieldPosition="0"/>
    </format>
    <format dxfId="86">
      <pivotArea type="all" dataOnly="0" outline="0" fieldPosition="0"/>
    </format>
    <format dxfId="85">
      <pivotArea outline="0" collapsedLevelsAreSubtotals="1" fieldPosition="0"/>
    </format>
    <format dxfId="84">
      <pivotArea field="0" type="button" dataOnly="0" labelOnly="1" outline="0" axis="axisRow" fieldPosition="0"/>
    </format>
    <format dxfId="83">
      <pivotArea dataOnly="0" labelOnly="1" fieldPosition="0">
        <references count="1">
          <reference field="0" count="0"/>
        </references>
      </pivotArea>
    </format>
    <format dxfId="82">
      <pivotArea dataOnly="0" labelOnly="1" grandRow="1" outline="0" fieldPosition="0"/>
    </format>
    <format dxfId="81">
      <pivotArea dataOnly="0" labelOnly="1" outline="0" axis="axisValues" fieldPosition="0"/>
    </format>
  </formats>
  <chartFormats count="2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2"/>
          </reference>
        </references>
      </pivotArea>
    </chartFormat>
    <chartFormat chart="0" format="2">
      <pivotArea type="data" outline="0" fieldPosition="0">
        <references count="2">
          <reference field="4294967294" count="1" selected="0">
            <x v="0"/>
          </reference>
          <reference field="0" count="1" selected="0">
            <x v="5"/>
          </reference>
        </references>
      </pivotArea>
    </chartFormat>
    <chartFormat chart="0" format="3">
      <pivotArea type="data" outline="0" fieldPosition="0">
        <references count="2">
          <reference field="4294967294" count="1" selected="0">
            <x v="0"/>
          </reference>
          <reference field="0" count="1" selected="0">
            <x v="8"/>
          </reference>
        </references>
      </pivotArea>
    </chartFormat>
    <chartFormat chart="0" format="4">
      <pivotArea type="data" outline="0" fieldPosition="0">
        <references count="2">
          <reference field="4294967294" count="1" selected="0">
            <x v="0"/>
          </reference>
          <reference field="0" count="1" selected="0">
            <x v="11"/>
          </reference>
        </references>
      </pivotArea>
    </chartFormat>
    <chartFormat chart="0" format="5">
      <pivotArea type="data" outline="0" fieldPosition="0">
        <references count="2">
          <reference field="4294967294" count="1" selected="0">
            <x v="0"/>
          </reference>
          <reference field="0" count="1" selected="0">
            <x v="1"/>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9"/>
          </reference>
        </references>
      </pivotArea>
    </chartFormat>
    <chartFormat chart="0" format="8">
      <pivotArea type="data" outline="0" fieldPosition="0">
        <references count="2">
          <reference field="4294967294" count="1" selected="0">
            <x v="0"/>
          </reference>
          <reference field="0" count="1" selected="0">
            <x v="7"/>
          </reference>
        </references>
      </pivotArea>
    </chartFormat>
    <chartFormat chart="0" format="9">
      <pivotArea type="data" outline="0" fieldPosition="0">
        <references count="2">
          <reference field="4294967294" count="1" selected="0">
            <x v="0"/>
          </reference>
          <reference field="0" count="1" selected="0">
            <x v="6"/>
          </reference>
        </references>
      </pivotArea>
    </chartFormat>
    <chartFormat chart="2" format="20" series="1">
      <pivotArea type="data" outline="0" fieldPosition="0">
        <references count="1">
          <reference field="4294967294" count="1" selected="0">
            <x v="0"/>
          </reference>
        </references>
      </pivotArea>
    </chartFormat>
    <chartFormat chart="2" format="21">
      <pivotArea type="data" outline="0" fieldPosition="0">
        <references count="2">
          <reference field="4294967294" count="1" selected="0">
            <x v="0"/>
          </reference>
          <reference field="0" count="1" selected="0">
            <x v="1"/>
          </reference>
        </references>
      </pivotArea>
    </chartFormat>
    <chartFormat chart="2" format="22">
      <pivotArea type="data" outline="0" fieldPosition="0">
        <references count="2">
          <reference field="4294967294" count="1" selected="0">
            <x v="0"/>
          </reference>
          <reference field="0" count="1" selected="0">
            <x v="2"/>
          </reference>
        </references>
      </pivotArea>
    </chartFormat>
    <chartFormat chart="2" format="23">
      <pivotArea type="data" outline="0" fieldPosition="0">
        <references count="2">
          <reference field="4294967294" count="1" selected="0">
            <x v="0"/>
          </reference>
          <reference field="0" count="1" selected="0">
            <x v="4"/>
          </reference>
        </references>
      </pivotArea>
    </chartFormat>
    <chartFormat chart="2" format="24">
      <pivotArea type="data" outline="0" fieldPosition="0">
        <references count="2">
          <reference field="4294967294" count="1" selected="0">
            <x v="0"/>
          </reference>
          <reference field="0" count="1" selected="0">
            <x v="5"/>
          </reference>
        </references>
      </pivotArea>
    </chartFormat>
    <chartFormat chart="2" format="25">
      <pivotArea type="data" outline="0" fieldPosition="0">
        <references count="2">
          <reference field="4294967294" count="1" selected="0">
            <x v="0"/>
          </reference>
          <reference field="0" count="1" selected="0">
            <x v="6"/>
          </reference>
        </references>
      </pivotArea>
    </chartFormat>
    <chartFormat chart="2" format="26">
      <pivotArea type="data" outline="0" fieldPosition="0">
        <references count="2">
          <reference field="4294967294" count="1" selected="0">
            <x v="0"/>
          </reference>
          <reference field="0" count="1" selected="0">
            <x v="7"/>
          </reference>
        </references>
      </pivotArea>
    </chartFormat>
    <chartFormat chart="2" format="27">
      <pivotArea type="data" outline="0" fieldPosition="0">
        <references count="2">
          <reference field="4294967294" count="1" selected="0">
            <x v="0"/>
          </reference>
          <reference field="0" count="1" selected="0">
            <x v="8"/>
          </reference>
        </references>
      </pivotArea>
    </chartFormat>
    <chartFormat chart="2" format="28">
      <pivotArea type="data" outline="0" fieldPosition="0">
        <references count="2">
          <reference field="4294967294" count="1" selected="0">
            <x v="0"/>
          </reference>
          <reference field="0" count="1" selected="0">
            <x v="9"/>
          </reference>
        </references>
      </pivotArea>
    </chartFormat>
    <chartFormat chart="2" format="29">
      <pivotArea type="data" outline="0" fieldPosition="0">
        <references count="2">
          <reference field="4294967294" count="1" selected="0">
            <x v="0"/>
          </reference>
          <reference field="0" count="1" selected="0">
            <x v="1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رقم الطلبية"/>
    <pivotHierarchy dragToData="1" caption="المبلغ"/>
    <pivotHierarchy dragToData="1"/>
    <pivotHierarchy dragToData="1"/>
    <pivotHierarchy dragToData="1"/>
    <pivotHierarchy dragToData="1"/>
    <pivotHierarchy dragToData="1"/>
  </pivotHierarchies>
  <pivotTableStyleInfo name="PivotStyleDark10" showRowHeaders="1" showColHeaders="1" showRowStripes="1" showColStripes="1"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2025.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6E1DF38-C574-4FDA-802C-5E8DE480D080}"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Target" fld="0" baseField="0" baseItem="0" numFmtId="166"/>
  </dataFields>
  <formats count="3">
    <format dxfId="104">
      <pivotArea outline="0" collapsedLevelsAreSubtotals="1" fieldPosition="0"/>
    </format>
    <format dxfId="103">
      <pivotArea outline="0" collapsedLevelsAreSubtotals="1" fieldPosition="0"/>
    </format>
    <format dxfId="102">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رقم الطلبية"/>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x15:activeTabTopLevelEntity name="[Targe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6D213CA-B830-499C-A6DB-643535B19650}" name="PivotTable4"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24:A25" firstHeaderRow="1" firstDataRow="1" firstDataCol="0" rowPageCount="1" colPageCount="1"/>
  <pivotFields count="3">
    <pivotField axis="axisPage" allDrilled="1" subtotalTop="0" showAll="0" dataSourceSort="1" defaultSubtotal="0" defaultAttributeDrillState="1">
      <items count="1">
        <item x="0"/>
      </items>
    </pivotField>
    <pivotField dataField="1" subtotalTop="0" showAll="0" defaultSubtotal="0"/>
    <pivotField allDrilled="1" subtotalTop="0" showAll="0" dataSourceSort="1" defaultSubtotal="0" defaultAttributeDrillState="1"/>
  </pivotFields>
  <rowItems count="1">
    <i/>
  </rowItems>
  <colItems count="1">
    <i/>
  </colItems>
  <pageFields count="1">
    <pageField fld="0" hier="9" name="[Sales].[التصنيف].&amp;[زبادى]" cap="زبادى"/>
  </pageFields>
  <dataFields count="1">
    <dataField name="Sum of سعر الشركة" fld="1" baseField="0" baseItem="0" numFmtId="166"/>
  </dataFields>
  <formats count="5">
    <format dxfId="109">
      <pivotArea outline="0" collapsedLevelsAreSubtotals="1" fieldPosition="0"/>
    </format>
    <format dxfId="108">
      <pivotArea outline="0" collapsedLevelsAreSubtotals="1" fieldPosition="0"/>
    </format>
    <format dxfId="107">
      <pivotArea dataOnly="0" fieldPosition="0">
        <references count="1">
          <reference field="0" count="0"/>
        </references>
      </pivotArea>
    </format>
    <format dxfId="106">
      <pivotArea dataOnly="0" fieldPosition="0">
        <references count="1">
          <reference field="0" count="0"/>
        </references>
      </pivotArea>
    </format>
    <format dxfId="105">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Sales].[التصنيف].&amp;[زبادى]"/>
      </members>
    </pivotHierarchy>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رقم الطلبية"/>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2025.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6ADA424-9E81-460A-B647-449AED6928F7}" name="PivotTable7"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40:A41" firstHeaderRow="1" firstDataRow="1" firstDataCol="0" rowPageCount="1" colPageCount="1"/>
  <pivotFields count="3">
    <pivotField axis="axisPage" allDrilled="1" subtotalTop="0" showAll="0" dataSourceSort="1" defaultSubtotal="0" defaultAttributeDrillState="1">
      <items count="1">
        <item s="1" x="0"/>
      </items>
    </pivotField>
    <pivotField dataField="1" subtotalTop="0" showAll="0" defaultSubtotal="0"/>
    <pivotField allDrilled="1" subtotalTop="0" showAll="0" dataSourceSort="1" defaultSubtotal="0" defaultAttributeDrillState="1"/>
  </pivotFields>
  <rowItems count="1">
    <i/>
  </rowItems>
  <colItems count="1">
    <i/>
  </colItems>
  <pageFields count="1">
    <pageField fld="0" hier="9" name="[Sales].[التصنيف].&amp;[البان]" cap="البان"/>
  </pageFields>
  <dataFields count="1">
    <dataField name="Sum of سعر الشركة" fld="1" baseField="0" baseItem="0" numFmtId="166"/>
  </dataFields>
  <formats count="5">
    <format dxfId="114">
      <pivotArea outline="0" collapsedLevelsAreSubtotals="1" fieldPosition="0"/>
    </format>
    <format dxfId="113">
      <pivotArea outline="0" collapsedLevelsAreSubtotals="1" fieldPosition="0"/>
    </format>
    <format dxfId="112">
      <pivotArea dataOnly="0" fieldPosition="0">
        <references count="1">
          <reference field="0" count="0"/>
        </references>
      </pivotArea>
    </format>
    <format dxfId="111">
      <pivotArea dataOnly="0" fieldPosition="0">
        <references count="1">
          <reference field="0" count="0"/>
        </references>
      </pivotArea>
    </format>
    <format dxfId="110">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رقم الطلبية"/>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2025.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7F4ECFC-B427-47C9-987C-7D0B0DE39F88}"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Distinct Count of رقم الطلبية" fld="0" subtotal="count" baseField="0" baseItem="0">
      <extLst>
        <ext xmlns:x15="http://schemas.microsoft.com/office/spreadsheetml/2010/11/main" uri="{FABC7310-3BB5-11E1-824E-6D434824019B}">
          <x15:dataField isCountDistinct="1"/>
        </ext>
      </extLst>
    </dataField>
  </dataFields>
  <formats count="2">
    <format dxfId="116">
      <pivotArea outline="0" collapsedLevelsAreSubtotals="1" fieldPosition="0"/>
    </format>
    <format dxfId="115">
      <pivotArea outline="0" collapsedLevelsAreSubtotals="1" fieldPosition="0"/>
    </format>
  </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رقم الطلبية"/>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2025.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2334B0A-E9CB-4022-8230-EDE9D78BCFA7}" name="PivotTable12" cacheId="3" applyNumberFormats="0" applyBorderFormats="0" applyFontFormats="0" applyPatternFormats="0" applyAlignmentFormats="0" applyWidthHeightFormats="1" dataCaption="Values" tag="80306e5f-98aa-42dd-a5c3-e153e3b9a61c" updatedVersion="8" minRefreshableVersion="3" useAutoFormatting="1" itemPrintTitles="1" createdVersion="8" indent="0" outline="1" outlineData="1" multipleFieldFilters="0" chartFormat="8">
  <location ref="AE3:AG13" firstHeaderRow="0" firstDataRow="1" firstDataCol="1"/>
  <pivotFields count="4">
    <pivotField allDrilled="1" subtotalTop="0" showAll="0" sortType="ascending" defaultSubtotal="0" defaultAttributeDrillState="1">
      <items count="12">
        <item x="9"/>
        <item x="5"/>
        <item x="6"/>
        <item x="0"/>
        <item x="7"/>
        <item x="10"/>
        <item x="1"/>
        <item x="4"/>
        <item x="2"/>
        <item x="8"/>
        <item x="3"/>
        <item x="11"/>
      </items>
    </pivotField>
    <pivotField axis="axisRow" allDrilled="1" subtotalTop="0" showAll="0" sortType="descending" defaultSubtotal="0" defaultAttributeDrillState="1">
      <items count="9">
        <item s="1" x="0"/>
        <item s="1" x="1"/>
        <item s="1" x="2"/>
        <item s="1" x="3"/>
        <item s="1" x="4"/>
        <item s="1" x="5"/>
        <item s="1" x="6"/>
        <item s="1" x="7"/>
        <item s="1" x="8"/>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s>
  <rowFields count="1">
    <field x="1"/>
  </rowFields>
  <rowItems count="10">
    <i>
      <x v="6"/>
    </i>
    <i>
      <x v="7"/>
    </i>
    <i>
      <x v="4"/>
    </i>
    <i>
      <x v="5"/>
    </i>
    <i>
      <x v="3"/>
    </i>
    <i>
      <x v="1"/>
    </i>
    <i>
      <x v="8"/>
    </i>
    <i>
      <x/>
    </i>
    <i>
      <x v="2"/>
    </i>
    <i t="grand">
      <x/>
    </i>
  </rowItems>
  <colFields count="1">
    <field x="-2"/>
  </colFields>
  <colItems count="2">
    <i>
      <x/>
    </i>
    <i i="1">
      <x v="1"/>
    </i>
  </colItems>
  <dataFields count="2">
    <dataField name="المبلغ" fld="2" baseField="1" baseItem="6"/>
    <dataField name=" الكمية" fld="3" baseField="1" baseItem="6"/>
  </dataFields>
  <formats count="21">
    <format dxfId="137">
      <pivotArea outline="0" collapsedLevelsAreSubtotals="1" fieldPosition="0"/>
    </format>
    <format dxfId="136">
      <pivotArea outline="0" collapsedLevelsAreSubtotals="1" fieldPosition="0"/>
    </format>
    <format dxfId="135">
      <pivotArea outline="0" collapsedLevelsAreSubtotals="1" fieldPosition="0"/>
    </format>
    <format dxfId="134">
      <pivotArea dataOnly="0" labelOnly="1" fieldPosition="0">
        <references count="1">
          <reference field="1" count="0"/>
        </references>
      </pivotArea>
    </format>
    <format dxfId="133">
      <pivotArea dataOnly="0" labelOnly="1" fieldPosition="0">
        <references count="1">
          <reference field="1" count="0"/>
        </references>
      </pivotArea>
    </format>
    <format dxfId="132">
      <pivotArea type="all" dataOnly="0" outline="0" fieldPosition="0"/>
    </format>
    <format dxfId="131">
      <pivotArea outline="0" collapsedLevelsAreSubtotals="1" fieldPosition="0"/>
    </format>
    <format dxfId="130">
      <pivotArea field="1" type="button" dataOnly="0" labelOnly="1" outline="0" axis="axisRow" fieldPosition="0"/>
    </format>
    <format dxfId="129">
      <pivotArea dataOnly="0" labelOnly="1" fieldPosition="0">
        <references count="1">
          <reference field="1" count="0"/>
        </references>
      </pivotArea>
    </format>
    <format dxfId="128">
      <pivotArea dataOnly="0" labelOnly="1" grandRow="1" outline="0" fieldPosition="0"/>
    </format>
    <format dxfId="127">
      <pivotArea dataOnly="0" labelOnly="1" outline="0" fieldPosition="0">
        <references count="1">
          <reference field="4294967294" count="2">
            <x v="0"/>
            <x v="1"/>
          </reference>
        </references>
      </pivotArea>
    </format>
    <format dxfId="126">
      <pivotArea type="all" dataOnly="0" outline="0" fieldPosition="0"/>
    </format>
    <format dxfId="125">
      <pivotArea outline="0" collapsedLevelsAreSubtotals="1" fieldPosition="0"/>
    </format>
    <format dxfId="124">
      <pivotArea dataOnly="0" labelOnly="1" fieldPosition="0">
        <references count="1">
          <reference field="1" count="0"/>
        </references>
      </pivotArea>
    </format>
    <format dxfId="123">
      <pivotArea dataOnly="0" labelOnly="1" grandRow="1" outline="0" fieldPosition="0"/>
    </format>
    <format dxfId="122">
      <pivotArea field="1" type="button" dataOnly="0" labelOnly="1" outline="0" axis="axisRow" fieldPosition="0"/>
    </format>
    <format dxfId="121">
      <pivotArea dataOnly="0" labelOnly="1" outline="0" fieldPosition="0">
        <references count="1">
          <reference field="4294967294" count="2">
            <x v="0"/>
            <x v="1"/>
          </reference>
        </references>
      </pivotArea>
    </format>
    <format dxfId="120">
      <pivotArea field="1" type="button" dataOnly="0" labelOnly="1" outline="0" axis="axisRow" fieldPosition="0"/>
    </format>
    <format dxfId="119">
      <pivotArea dataOnly="0" labelOnly="1" outline="0" fieldPosition="0">
        <references count="1">
          <reference field="4294967294" count="2">
            <x v="0"/>
            <x v="1"/>
          </reference>
        </references>
      </pivotArea>
    </format>
    <format dxfId="118">
      <pivotArea field="1" type="button" dataOnly="0" labelOnly="1" outline="0" axis="axisRow" fieldPosition="0"/>
    </format>
    <format dxfId="117">
      <pivotArea dataOnly="0" labelOnly="1" outline="0" fieldPosition="0">
        <references count="1">
          <reference field="4294967294" count="2">
            <x v="0"/>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1" count="1" selected="0">
            <x v="3"/>
          </reference>
        </references>
      </pivotArea>
    </chartFormat>
    <chartFormat chart="3" format="3">
      <pivotArea type="data" outline="0" fieldPosition="0">
        <references count="2">
          <reference field="4294967294" count="1" selected="0">
            <x v="0"/>
          </reference>
          <reference field="1" count="1" selected="0">
            <x v="5"/>
          </reference>
        </references>
      </pivotArea>
    </chartFormat>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رقم الطلبية"/>
    <pivotHierarchy dragToData="1" caption="المبلغ"/>
    <pivotHierarchy dragToData="1"/>
    <pivotHierarchy dragToData="1"/>
    <pivotHierarchy dragToData="1" caption=" الكمية"/>
    <pivotHierarchy dragToData="1"/>
    <pivotHierarchy dragToData="1"/>
  </pivotHierarchies>
  <pivotTableStyleInfo name="PivotStyleDark16" showRowHeaders="1" showColHeaders="1" showRowStripes="1" showColStripes="1"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2025.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D61191BE-A968-4F88-9DA9-393671D24B47}" name="PivotTable9" cacheId="13" applyNumberFormats="0" applyBorderFormats="0" applyFontFormats="0" applyPatternFormats="0" applyAlignmentFormats="0" applyWidthHeightFormats="1" dataCaption="Values" tag="fac4b81c-28fb-425d-b68c-00305acc2869" updatedVersion="8" minRefreshableVersion="3" useAutoFormatting="1" itemPrintTitles="1" createdVersion="8" indent="0" compact="0" outline="1" outlineData="1" compactData="0" multipleFieldFilters="0" chartFormat="3">
  <location ref="H3:I16" firstHeaderRow="1" firstDataRow="1" firstDataCol="1"/>
  <pivotFields count="2">
    <pivotField axis="axisRow" compact="0" allDrilled="1" showAll="0" sortType="ascending" defaultSubtotal="0" defaultAttributeDrillState="1">
      <items count="12">
        <item x="9"/>
        <item x="5"/>
        <item x="6"/>
        <item x="0"/>
        <item x="7"/>
        <item x="11"/>
        <item x="10"/>
        <item x="1"/>
        <item x="4"/>
        <item x="2"/>
        <item x="8"/>
        <item x="3"/>
      </items>
      <extLst>
        <ext xmlns:x14="http://schemas.microsoft.com/office/spreadsheetml/2009/9/main" uri="{2946ED86-A175-432a-8AC1-64E0C546D7DE}">
          <x14:pivotField fillDownLabels="1"/>
        </ext>
      </extLst>
    </pivotField>
    <pivotField dataField="1" compact="0" showAll="0" defaultSubtotal="0">
      <extLst>
        <ext xmlns:x14="http://schemas.microsoft.com/office/spreadsheetml/2009/9/main" uri="{2946ED86-A175-432a-8AC1-64E0C546D7DE}">
          <x14:pivotField fillDownLabels="1"/>
        </ext>
      </extLst>
    </pivotField>
  </pivotFields>
  <rowFields count="1">
    <field x="0"/>
  </rowFields>
  <rowItems count="13">
    <i>
      <x/>
    </i>
    <i>
      <x v="1"/>
    </i>
    <i>
      <x v="2"/>
    </i>
    <i>
      <x v="3"/>
    </i>
    <i>
      <x v="4"/>
    </i>
    <i>
      <x v="5"/>
    </i>
    <i>
      <x v="6"/>
    </i>
    <i>
      <x v="7"/>
    </i>
    <i>
      <x v="8"/>
    </i>
    <i>
      <x v="9"/>
    </i>
    <i>
      <x v="10"/>
    </i>
    <i>
      <x v="11"/>
    </i>
    <i t="grand">
      <x/>
    </i>
  </rowItems>
  <colItems count="1">
    <i/>
  </colItems>
  <dataFields count="1">
    <dataField name="المبلغ" fld="1" baseField="0" baseItem="0" numFmtId="3"/>
  </dataFields>
  <formats count="34">
    <format dxfId="171">
      <pivotArea outline="0" collapsedLevelsAreSubtotals="1" fieldPosition="0"/>
    </format>
    <format dxfId="170">
      <pivotArea outline="0" collapsedLevelsAreSubtotals="1" fieldPosition="0"/>
    </format>
    <format dxfId="169">
      <pivotArea outline="0" collapsedLevelsAreSubtotals="1" fieldPosition="0"/>
    </format>
    <format dxfId="168">
      <pivotArea dataOnly="0" fieldPosition="0">
        <references count="1">
          <reference field="0" count="0"/>
        </references>
      </pivotArea>
    </format>
    <format dxfId="167">
      <pivotArea type="all" dataOnly="0" outline="0" fieldPosition="0"/>
    </format>
    <format dxfId="166">
      <pivotArea outline="0" collapsedLevelsAreSubtotals="1" fieldPosition="0"/>
    </format>
    <format dxfId="165">
      <pivotArea field="0" type="button" dataOnly="0" labelOnly="1" outline="0" axis="axisRow" fieldPosition="0"/>
    </format>
    <format dxfId="164">
      <pivotArea dataOnly="0" labelOnly="1" outline="0" fieldPosition="0">
        <references count="1">
          <reference field="0" count="0"/>
        </references>
      </pivotArea>
    </format>
    <format dxfId="163">
      <pivotArea dataOnly="0" labelOnly="1" grandRow="1" outline="0" fieldPosition="0"/>
    </format>
    <format dxfId="162">
      <pivotArea dataOnly="0" labelOnly="1" outline="0" axis="axisValues" fieldPosition="0"/>
    </format>
    <format dxfId="161">
      <pivotArea type="all" dataOnly="0" outline="0" fieldPosition="0"/>
    </format>
    <format dxfId="160">
      <pivotArea outline="0" collapsedLevelsAreSubtotals="1" fieldPosition="0"/>
    </format>
    <format dxfId="159">
      <pivotArea field="0" type="button" dataOnly="0" labelOnly="1" outline="0" axis="axisRow" fieldPosition="0"/>
    </format>
    <format dxfId="158">
      <pivotArea dataOnly="0" labelOnly="1" outline="0" fieldPosition="0">
        <references count="1">
          <reference field="0" count="0"/>
        </references>
      </pivotArea>
    </format>
    <format dxfId="157">
      <pivotArea dataOnly="0" labelOnly="1" grandRow="1" outline="0" fieldPosition="0"/>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field="0" type="button" dataOnly="0" labelOnly="1" outline="0" axis="axisRow" fieldPosition="0"/>
    </format>
    <format dxfId="152">
      <pivotArea dataOnly="0" labelOnly="1" outline="0" fieldPosition="0">
        <references count="1">
          <reference field="0" count="0"/>
        </references>
      </pivotArea>
    </format>
    <format dxfId="151">
      <pivotArea dataOnly="0" labelOnly="1" grandRow="1" outline="0" fieldPosition="0"/>
    </format>
    <format dxfId="150">
      <pivotArea dataOnly="0" labelOnly="1" outline="0" axis="axisValues" fieldPosition="0"/>
    </format>
    <format dxfId="149">
      <pivotArea type="all" dataOnly="0" outline="0" fieldPosition="0"/>
    </format>
    <format dxfId="148">
      <pivotArea outline="0" collapsedLevelsAreSubtotals="1" fieldPosition="0"/>
    </format>
    <format dxfId="147">
      <pivotArea field="0" type="button" dataOnly="0" labelOnly="1" outline="0" axis="axisRow" fieldPosition="0"/>
    </format>
    <format dxfId="146">
      <pivotArea dataOnly="0" labelOnly="1" outline="0" fieldPosition="0">
        <references count="1">
          <reference field="0" count="0"/>
        </references>
      </pivotArea>
    </format>
    <format dxfId="145">
      <pivotArea dataOnly="0" labelOnly="1" grandRow="1" outline="0" fieldPosition="0"/>
    </format>
    <format dxfId="144">
      <pivotArea dataOnly="0" labelOnly="1" outline="0" axis="axisValues" fieldPosition="0"/>
    </format>
    <format dxfId="143">
      <pivotArea type="all" dataOnly="0" outline="0" fieldPosition="0"/>
    </format>
    <format dxfId="142">
      <pivotArea outline="0" collapsedLevelsAreSubtotals="1" fieldPosition="0"/>
    </format>
    <format dxfId="141">
      <pivotArea field="0" type="button" dataOnly="0" labelOnly="1" outline="0" axis="axisRow" fieldPosition="0"/>
    </format>
    <format dxfId="140">
      <pivotArea dataOnly="0" labelOnly="1" outline="0" fieldPosition="0">
        <references count="1">
          <reference field="0" count="0"/>
        </references>
      </pivotArea>
    </format>
    <format dxfId="139">
      <pivotArea dataOnly="0" labelOnly="1" grandRow="1" outline="0" fieldPosition="0"/>
    </format>
    <format dxfId="138">
      <pivotArea dataOnly="0" labelOnly="1" outline="0" axis="axisValues" fieldPosition="0"/>
    </format>
  </formats>
  <chartFormats count="2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4"/>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7"/>
          </reference>
        </references>
      </pivotArea>
    </chartFormat>
    <chartFormat chart="0" format="6">
      <pivotArea type="data" outline="0" fieldPosition="0">
        <references count="2">
          <reference field="4294967294" count="1" selected="0">
            <x v="0"/>
          </reference>
          <reference field="0" count="1" selected="0">
            <x v="10"/>
          </reference>
        </references>
      </pivotArea>
    </chartFormat>
    <chartFormat chart="0" format="7">
      <pivotArea type="data" outline="0" fieldPosition="0">
        <references count="2">
          <reference field="4294967294" count="1" selected="0">
            <x v="0"/>
          </reference>
          <reference field="0" count="1" selected="0">
            <x v="9"/>
          </reference>
        </references>
      </pivotArea>
    </chartFormat>
    <chartFormat chart="0" format="8">
      <pivotArea type="data" outline="0" fieldPosition="0">
        <references count="2">
          <reference field="4294967294" count="1" selected="0">
            <x v="0"/>
          </reference>
          <reference field="0" count="1" selected="0">
            <x v="1048832"/>
          </reference>
        </references>
      </pivotArea>
    </chartFormat>
    <chartFormat chart="0" format="9">
      <pivotArea type="data" outline="0" fieldPosition="0">
        <references count="2">
          <reference field="4294967294" count="1" selected="0">
            <x v="0"/>
          </reference>
          <reference field="0" count="1" selected="0">
            <x v="2"/>
          </reference>
        </references>
      </pivotArea>
    </chartFormat>
    <chartFormat chart="0" format="10">
      <pivotArea type="data" outline="0" fieldPosition="0">
        <references count="2">
          <reference field="4294967294" count="1" selected="0">
            <x v="0"/>
          </reference>
          <reference field="0" count="1" selected="0">
            <x v="6"/>
          </reference>
        </references>
      </pivotArea>
    </chartFormat>
    <chartFormat chart="0" format="11">
      <pivotArea type="data" outline="0" fieldPosition="0">
        <references count="2">
          <reference field="4294967294" count="1" selected="0">
            <x v="0"/>
          </reference>
          <reference field="0" count="1" selected="0">
            <x v="8"/>
          </reference>
        </references>
      </pivotArea>
    </chartFormat>
    <chartFormat chart="0" format="12">
      <pivotArea type="data" outline="0" fieldPosition="0">
        <references count="2">
          <reference field="4294967294" count="1" selected="0">
            <x v="0"/>
          </reference>
          <reference field="0" count="1" selected="0">
            <x v="11"/>
          </reference>
        </references>
      </pivotArea>
    </chartFormat>
    <chartFormat chart="0" format="14">
      <pivotArea type="data" outline="0" fieldPosition="0">
        <references count="2">
          <reference field="4294967294" count="1" selected="0">
            <x v="0"/>
          </reference>
          <reference field="0" count="1" selected="0">
            <x v="5"/>
          </reference>
        </references>
      </pivotArea>
    </chartFormat>
    <chartFormat chart="2" format="23" series="1">
      <pivotArea type="data" outline="0" fieldPosition="0">
        <references count="1">
          <reference field="4294967294" count="1" selected="0">
            <x v="0"/>
          </reference>
        </references>
      </pivotArea>
    </chartFormat>
    <chartFormat chart="2" format="24">
      <pivotArea type="data" outline="0" fieldPosition="0">
        <references count="2">
          <reference field="4294967294" count="1" selected="0">
            <x v="0"/>
          </reference>
          <reference field="0" count="1" selected="0">
            <x v="0"/>
          </reference>
        </references>
      </pivotArea>
    </chartFormat>
    <chartFormat chart="2" format="25">
      <pivotArea type="data" outline="0" fieldPosition="0">
        <references count="2">
          <reference field="4294967294" count="1" selected="0">
            <x v="0"/>
          </reference>
          <reference field="0" count="1" selected="0">
            <x v="1"/>
          </reference>
        </references>
      </pivotArea>
    </chartFormat>
    <chartFormat chart="2" format="26">
      <pivotArea type="data" outline="0" fieldPosition="0">
        <references count="2">
          <reference field="4294967294" count="1" selected="0">
            <x v="0"/>
          </reference>
          <reference field="0" count="1" selected="0">
            <x v="3"/>
          </reference>
        </references>
      </pivotArea>
    </chartFormat>
    <chartFormat chart="2" format="27">
      <pivotArea type="data" outline="0" fieldPosition="0">
        <references count="2">
          <reference field="4294967294" count="1" selected="0">
            <x v="0"/>
          </reference>
          <reference field="0" count="1" selected="0">
            <x v="4"/>
          </reference>
        </references>
      </pivotArea>
    </chartFormat>
    <chartFormat chart="2" format="28">
      <pivotArea type="data" outline="0" fieldPosition="0">
        <references count="2">
          <reference field="4294967294" count="1" selected="0">
            <x v="0"/>
          </reference>
          <reference field="0" count="1" selected="0">
            <x v="7"/>
          </reference>
        </references>
      </pivotArea>
    </chartFormat>
    <chartFormat chart="2" format="29">
      <pivotArea type="data" outline="0" fieldPosition="0">
        <references count="2">
          <reference field="4294967294" count="1" selected="0">
            <x v="0"/>
          </reference>
          <reference field="0" count="1" selected="0">
            <x v="9"/>
          </reference>
        </references>
      </pivotArea>
    </chartFormat>
    <chartFormat chart="2" format="30">
      <pivotArea type="data" outline="0" fieldPosition="0">
        <references count="2">
          <reference field="4294967294" count="1" selected="0">
            <x v="0"/>
          </reference>
          <reference field="0" count="1" selected="0">
            <x v="10"/>
          </reference>
        </references>
      </pivotArea>
    </chartFormat>
  </chartFormats>
  <pivotHierarchies count="3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رقم الطلبية"/>
    <pivotHierarchy dragToData="1" caption="المبلغ"/>
    <pivotHierarchy dragToData="1"/>
    <pivotHierarchy dragToData="1"/>
    <pivotHierarchy dragToData="1"/>
    <pivotHierarchy dragToData="1"/>
    <pivotHierarchy dragToData="1"/>
  </pivotHierarchies>
  <pivotTableStyleInfo name="PivotStyleLight15" showRowHeaders="1" showColHeaders="1" showRowStripes="1" showColStripes="1"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Sales2025.xlsx!Sales">
        <x15:activeTabTopLevelEntity name="[Sales]"/>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الشهور" xr10:uid="{8820FB0D-7E7D-40F5-B8A3-D828CD0E14EB}" sourceName="[Sales].[الشهور]">
  <pivotTables>
    <pivotTable tabId="2" name="PivotTable1"/>
    <pivotTable tabId="2" name="PivotTable10"/>
    <pivotTable tabId="2" name="PivotTable11"/>
    <pivotTable tabId="2" name="PivotTable12"/>
    <pivotTable tabId="2" name="PivotTable13"/>
    <pivotTable tabId="2" name="PivotTable14"/>
    <pivotTable tabId="2" name="PivotTable15"/>
    <pivotTable tabId="2" name="PivotTable2"/>
    <pivotTable tabId="2" name="PivotTable3"/>
    <pivotTable tabId="2" name="PivotTable4"/>
    <pivotTable tabId="2" name="PivotTable6"/>
    <pivotTable tabId="2" name="PivotTable7"/>
    <pivotTable tabId="2" name="PivotTable8"/>
    <pivotTable tabId="2" name="PivotTable9"/>
  </pivotTables>
  <data>
    <olap pivotCacheId="348616617">
      <levels count="2">
        <level uniqueName="[Sales].[الشهور].[(All)]" sourceCaption="(All)" count="0"/>
        <level uniqueName="[Sales].[الشهور].[الشهور]" sourceCaption="الشهور" count="12" sortOrder="ascending">
          <ranges>
            <range startItem="0">
              <i n="[Sales].[الشهور].&amp;[أبريل]" c="أبريل"/>
              <i n="[Sales].[الشهور].&amp;[أغسطس]" c="أغسطس"/>
              <i n="[Sales].[الشهور].&amp;[أكتوبر]" c="أكتوبر"/>
              <i n="[Sales].[الشهور].&amp;[ديسمبر]" c="ديسمبر"/>
              <i n="[Sales].[الشهور].&amp;[سبتمبر]" c="سبتمبر"/>
              <i n="[Sales].[الشهور].&amp;[فبراير]" c="فبراير"/>
              <i n="[Sales].[الشهور].&amp;[مارس]" c="مارس"/>
              <i n="[Sales].[الشهور].&amp;[مايو]" c="مايو"/>
              <i n="[Sales].[الشهور].&amp;[نوفمبر]" c="نوفمبر"/>
              <i n="[Sales].[الشهور].&amp;[يناير]" c="يناير"/>
              <i n="[Sales].[الشهور].&amp;[يوليو]" c="يوليو"/>
              <i n="[Sales].[الشهور].&amp;[يونيو]" c="يونيو"/>
            </range>
          </ranges>
        </level>
      </levels>
      <selections count="1">
        <selection n="[Sales].[الشهور].[All]"/>
      </selections>
    </olap>
  </data>
  <extLst>
    <x:ext xmlns:x15="http://schemas.microsoft.com/office/spreadsheetml/2010/11/main" uri="{470722E0-AACD-4C17-9CDC-17EF765DBC7E}">
      <x15:slicerCacheHideItemsWithNoData count="1">
        <x15:slicerCacheOlapLevelName uniqueName="[Sales].[الشهور].[الشهور]"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شهور" xr10:uid="{7D4CDDBF-ED29-4F08-A4F7-95D49CF7B5C7}" cache="Slicer_الشهور" caption="الشهور" level="1"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شهور 2" xr10:uid="{313A3DD9-16C5-4401-9391-CF8C826F24A5}" cache="Slicer_الشهور" caption="الشهور" level="1" style="SlicerStyleDark2" rowHeight="2880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الشهور 1" xr10:uid="{A9181D6E-35F4-4BE6-A6CA-C909AA595909}" cache="Slicer_الشهور" caption="الشهور" level="1" style="SlicerStyleDark2" rowHeight="252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2439497-DBD0-4491-B87A-F8CA4915A4B4}" name="Target" displayName="Target" ref="AB1:AC13" totalsRowShown="0" headerRowDxfId="193" dataDxfId="192">
  <autoFilter ref="AB1:AC13" xr:uid="{92439497-DBD0-4491-B87A-F8CA4915A4B4}"/>
  <tableColumns count="2">
    <tableColumn id="1" xr3:uid="{043BDD1C-0E1E-4045-9F46-4BC1CFD49F98}" name="الشهور" dataDxfId="191"/>
    <tableColumn id="2" xr3:uid="{AB0CF9BF-372E-42F0-9D4B-D16DBCBD3E6E}" name="Target" dataDxfId="19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6CB96B4-6F58-489D-8883-0C385C98451A}" name="Sales" displayName="Sales" ref="G1:W1295" totalsRowShown="0" headerRowBorderDxfId="189">
  <autoFilter ref="G1:W1295" xr:uid="{56CB96B4-6F58-489D-8883-0C385C98451A}"/>
  <tableColumns count="17">
    <tableColumn id="1" xr3:uid="{07E3A069-7FDA-474A-B2DC-2D03C28DDB01}" name="م" dataDxfId="188">
      <calculatedColumnFormula>G1+1</calculatedColumnFormula>
    </tableColumn>
    <tableColumn id="2" xr3:uid="{E9BC4921-25D8-4B86-B7A3-7BE3522C6241}" name="التاريخ" dataDxfId="187"/>
    <tableColumn id="3" xr3:uid="{B82C213A-5D8D-42BE-B96D-163752212BE5}" name="اسم الصنف" dataDxfId="186"/>
    <tableColumn id="4" xr3:uid="{D0E83284-1C3F-4883-9CD9-54AB78082EB9}" name="سعر الشركة" dataDxfId="185"/>
    <tableColumn id="5" xr3:uid="{B099DF19-0492-480F-BBFE-233D82C9CAAA}" name="الكمية" dataDxfId="184"/>
    <tableColumn id="6" xr3:uid="{D607D3F5-BF4E-4626-8D5E-A5B42A37A440}" name="سعر الشراء" dataDxfId="183"/>
    <tableColumn id="7" xr3:uid="{7E7984C9-10B7-4023-8803-28C6A46868F5}" name="سعر الوحدة" dataDxfId="182">
      <calculatedColumnFormula>IFERROR(L2/K2,"")</calculatedColumnFormula>
    </tableColumn>
    <tableColumn id="8" xr3:uid="{BC305271-0614-4516-9E35-37779C9CE63E}" name="قيمة خصم" dataDxfId="181"/>
    <tableColumn id="9" xr3:uid="{8F108C00-67B4-4BCF-861B-D700569C3DE3}" name="السعر الصافى" dataDxfId="180">
      <calculatedColumnFormula>J2-N2</calculatedColumnFormula>
    </tableColumn>
    <tableColumn id="10" xr3:uid="{021FF9DC-E28F-42E4-BB8D-B446711AB1A0}" name="التصنيف" dataDxfId="179"/>
    <tableColumn id="11" xr3:uid="{974A8E46-B0C9-455C-A526-BD5C7B13D0AB}" name=" نسبة العمولة " dataDxfId="178"/>
    <tableColumn id="12" xr3:uid="{C7A1431C-2B1A-4DC3-8A59-5338A3E111CD}" name=" العمولة " dataDxfId="177">
      <calculatedColumnFormula>J2*Q2</calculatedColumnFormula>
    </tableColumn>
    <tableColumn id="13" xr3:uid="{C1AF24D2-74B2-4670-8353-D63B56A53C76}" name="سيارات " dataDxfId="176"/>
    <tableColumn id="14" xr3:uid="{D44933B1-10CD-4A1A-8EDA-35A4AB96617C}" name="حافز " dataDxfId="175"/>
    <tableColumn id="15" xr3:uid="{3591FB78-0146-4DC2-9179-8CB29925CA5A}" name="اجمالى العمولة " dataDxfId="174">
      <calculatedColumnFormula>T2+S2+R2</calculatedColumnFormula>
    </tableColumn>
    <tableColumn id="16" xr3:uid="{3B033C0B-CCA7-42D7-BE0B-7BC350CE09D3}" name="الشهور" dataDxfId="173"/>
    <tableColumn id="17" xr3:uid="{F113FFD3-AEDD-4E01-B618-82FF967D3843}" name="رقم الطلبية" dataDxfId="17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1296"/>
  <sheetViews>
    <sheetView topLeftCell="G1" workbookViewId="0">
      <pane xSplit="2" ySplit="1" topLeftCell="I1126" activePane="bottomRight" state="frozen"/>
      <selection activeCell="G1" sqref="G1"/>
      <selection pane="topRight" activeCell="I1" sqref="I1"/>
      <selection pane="bottomLeft" activeCell="G2" sqref="G2"/>
      <selection pane="bottomRight" activeCell="L1141" sqref="L1141"/>
    </sheetView>
  </sheetViews>
  <sheetFormatPr defaultRowHeight="15" x14ac:dyDescent="0.25"/>
  <cols>
    <col min="7" max="7" width="7.140625" bestFit="1" customWidth="1"/>
    <col min="8" max="8" width="14.7109375" bestFit="1" customWidth="1"/>
    <col min="9" max="9" width="40.28515625" bestFit="1" customWidth="1"/>
    <col min="10" max="10" width="14.7109375" bestFit="1" customWidth="1"/>
    <col min="12" max="12" width="14.7109375" bestFit="1" customWidth="1"/>
    <col min="13" max="13" width="17.85546875" bestFit="1" customWidth="1"/>
    <col min="14" max="14" width="11.5703125" customWidth="1"/>
    <col min="15" max="15" width="14.5703125" customWidth="1"/>
    <col min="16" max="16" width="10.28515625" customWidth="1"/>
    <col min="17" max="17" width="15.42578125" customWidth="1"/>
    <col min="18" max="18" width="10.42578125" customWidth="1"/>
    <col min="19" max="19" width="10" customWidth="1"/>
    <col min="21" max="21" width="16.42578125" customWidth="1"/>
    <col min="22" max="22" width="18.140625" customWidth="1"/>
    <col min="23" max="23" width="12.85546875" customWidth="1"/>
    <col min="28" max="28" width="11" bestFit="1" customWidth="1"/>
    <col min="29" max="29" width="13.28515625" bestFit="1" customWidth="1"/>
  </cols>
  <sheetData>
    <row r="1" spans="1:29" s="1" customFormat="1" ht="30.75" customHeight="1" thickBot="1" x14ac:dyDescent="0.35">
      <c r="A1" s="1" t="s">
        <v>70</v>
      </c>
      <c r="B1" s="1" t="s">
        <v>9</v>
      </c>
      <c r="C1" s="1" t="s">
        <v>71</v>
      </c>
      <c r="D1" s="2" t="s">
        <v>15</v>
      </c>
      <c r="G1" s="3" t="s">
        <v>0</v>
      </c>
      <c r="H1" s="4" t="s">
        <v>1</v>
      </c>
      <c r="I1" s="5" t="s">
        <v>2</v>
      </c>
      <c r="J1" s="5" t="s">
        <v>3</v>
      </c>
      <c r="K1" s="5" t="s">
        <v>4</v>
      </c>
      <c r="L1" s="5" t="s">
        <v>5</v>
      </c>
      <c r="M1" s="6" t="s">
        <v>6</v>
      </c>
      <c r="N1" s="5" t="s">
        <v>7</v>
      </c>
      <c r="O1" s="6" t="s">
        <v>8</v>
      </c>
      <c r="P1" s="5" t="s">
        <v>9</v>
      </c>
      <c r="Q1" s="5" t="s">
        <v>10</v>
      </c>
      <c r="R1" s="6" t="s">
        <v>11</v>
      </c>
      <c r="S1" s="5" t="s">
        <v>12</v>
      </c>
      <c r="T1" s="5" t="s">
        <v>13</v>
      </c>
      <c r="U1" s="7" t="s">
        <v>14</v>
      </c>
      <c r="V1" s="8" t="s">
        <v>15</v>
      </c>
      <c r="W1" s="8" t="s">
        <v>16</v>
      </c>
      <c r="X1" s="8"/>
      <c r="AB1" s="1" t="s">
        <v>15</v>
      </c>
      <c r="AC1" s="1" t="s">
        <v>69</v>
      </c>
    </row>
    <row r="2" spans="1:29" s="12" customFormat="1" ht="30.75" customHeight="1" thickTop="1" thickBot="1" x14ac:dyDescent="0.35">
      <c r="A2" s="9" t="s">
        <v>72</v>
      </c>
      <c r="B2" s="10" t="s">
        <v>18</v>
      </c>
      <c r="C2" s="11">
        <v>0.06</v>
      </c>
      <c r="D2" s="10" t="s">
        <v>19</v>
      </c>
      <c r="G2" s="13">
        <v>1</v>
      </c>
      <c r="H2" s="14">
        <v>45658</v>
      </c>
      <c r="I2" s="15" t="s">
        <v>17</v>
      </c>
      <c r="J2" s="15">
        <v>28512</v>
      </c>
      <c r="K2" s="15">
        <v>100</v>
      </c>
      <c r="L2" s="15">
        <v>22789.64</v>
      </c>
      <c r="M2" s="16">
        <f t="shared" ref="M2:M65" si="0">IFERROR(L2/K2,"")</f>
        <v>227.8964</v>
      </c>
      <c r="N2" s="15">
        <v>0</v>
      </c>
      <c r="O2" s="16">
        <f t="shared" ref="O2:O65" si="1">J2-N2</f>
        <v>28512</v>
      </c>
      <c r="P2" s="15" t="s">
        <v>18</v>
      </c>
      <c r="Q2" s="15">
        <v>0.06</v>
      </c>
      <c r="R2" s="16">
        <f t="shared" ref="R2:R65" si="2">J2*Q2</f>
        <v>1710.72</v>
      </c>
      <c r="S2" s="15">
        <v>0</v>
      </c>
      <c r="T2" s="15">
        <v>0</v>
      </c>
      <c r="U2" s="17">
        <f t="shared" ref="U2:U65" si="3">T2+S2+R2</f>
        <v>1710.72</v>
      </c>
      <c r="V2" s="12" t="s">
        <v>19</v>
      </c>
      <c r="W2" s="12">
        <v>1</v>
      </c>
      <c r="AB2" s="12" t="s">
        <v>19</v>
      </c>
      <c r="AC2" s="12">
        <v>1368274</v>
      </c>
    </row>
    <row r="3" spans="1:29" s="12" customFormat="1" ht="30.75" customHeight="1" thickTop="1" thickBot="1" x14ac:dyDescent="0.35">
      <c r="A3" s="9" t="s">
        <v>73</v>
      </c>
      <c r="B3" s="10" t="s">
        <v>26</v>
      </c>
      <c r="C3" s="11">
        <v>0.02</v>
      </c>
      <c r="D3" s="10" t="s">
        <v>40</v>
      </c>
      <c r="G3" s="13">
        <f>G2+1</f>
        <v>2</v>
      </c>
      <c r="H3" s="18">
        <v>45658</v>
      </c>
      <c r="I3" s="19" t="s">
        <v>20</v>
      </c>
      <c r="J3" s="15">
        <v>584</v>
      </c>
      <c r="K3" s="15">
        <v>2</v>
      </c>
      <c r="L3" s="15">
        <v>548.96</v>
      </c>
      <c r="M3" s="16">
        <f t="shared" si="0"/>
        <v>274.48</v>
      </c>
      <c r="N3" s="15">
        <v>0</v>
      </c>
      <c r="O3" s="16">
        <f t="shared" si="1"/>
        <v>584</v>
      </c>
      <c r="P3" s="15" t="s">
        <v>18</v>
      </c>
      <c r="Q3" s="15">
        <v>0.06</v>
      </c>
      <c r="R3" s="16">
        <f t="shared" si="2"/>
        <v>35.04</v>
      </c>
      <c r="S3" s="15">
        <v>0</v>
      </c>
      <c r="T3" s="15">
        <v>0</v>
      </c>
      <c r="U3" s="17">
        <f t="shared" si="3"/>
        <v>35.04</v>
      </c>
      <c r="V3" s="12" t="s">
        <v>19</v>
      </c>
      <c r="W3" s="12">
        <v>1</v>
      </c>
      <c r="AB3" s="12" t="s">
        <v>40</v>
      </c>
      <c r="AC3" s="12">
        <v>1958097</v>
      </c>
    </row>
    <row r="4" spans="1:29" s="12" customFormat="1" ht="30.75" customHeight="1" thickTop="1" thickBot="1" x14ac:dyDescent="0.35">
      <c r="A4" s="20" t="s">
        <v>45</v>
      </c>
      <c r="B4" s="10" t="s">
        <v>33</v>
      </c>
      <c r="C4" s="11">
        <v>0.01</v>
      </c>
      <c r="D4" s="10" t="s">
        <v>46</v>
      </c>
      <c r="G4" s="13">
        <f t="shared" ref="G4:G67" si="4">G3+1</f>
        <v>3</v>
      </c>
      <c r="H4" s="18">
        <v>45658</v>
      </c>
      <c r="I4" s="15" t="s">
        <v>21</v>
      </c>
      <c r="J4" s="15">
        <v>1116</v>
      </c>
      <c r="K4" s="15">
        <v>5</v>
      </c>
      <c r="L4" s="15">
        <v>1049.04</v>
      </c>
      <c r="M4" s="16">
        <f t="shared" si="0"/>
        <v>209.80799999999999</v>
      </c>
      <c r="N4" s="15">
        <v>0</v>
      </c>
      <c r="O4" s="16">
        <f t="shared" si="1"/>
        <v>1116</v>
      </c>
      <c r="P4" s="15" t="s">
        <v>18</v>
      </c>
      <c r="Q4" s="15">
        <v>0.06</v>
      </c>
      <c r="R4" s="16">
        <f t="shared" si="2"/>
        <v>66.959999999999994</v>
      </c>
      <c r="S4" s="15">
        <v>0</v>
      </c>
      <c r="T4" s="15">
        <v>0</v>
      </c>
      <c r="U4" s="17">
        <f t="shared" si="3"/>
        <v>66.959999999999994</v>
      </c>
      <c r="V4" s="12" t="s">
        <v>19</v>
      </c>
      <c r="W4" s="12">
        <v>1</v>
      </c>
      <c r="AB4" s="12" t="s">
        <v>46</v>
      </c>
      <c r="AC4" s="12">
        <v>4803430</v>
      </c>
    </row>
    <row r="5" spans="1:29" s="12" customFormat="1" ht="30.75" customHeight="1" thickTop="1" thickBot="1" x14ac:dyDescent="0.35">
      <c r="A5" s="20" t="s">
        <v>32</v>
      </c>
      <c r="B5" s="10" t="s">
        <v>29</v>
      </c>
      <c r="C5" s="10"/>
      <c r="D5" s="10" t="s">
        <v>49</v>
      </c>
      <c r="G5" s="13">
        <f t="shared" si="4"/>
        <v>4</v>
      </c>
      <c r="H5" s="18">
        <v>45658</v>
      </c>
      <c r="I5" s="15" t="s">
        <v>22</v>
      </c>
      <c r="J5" s="15">
        <v>2692.5</v>
      </c>
      <c r="K5" s="15">
        <v>10</v>
      </c>
      <c r="L5" s="15">
        <v>2530.9499999999998</v>
      </c>
      <c r="M5" s="16">
        <f t="shared" si="0"/>
        <v>253.09499999999997</v>
      </c>
      <c r="N5" s="15">
        <v>0</v>
      </c>
      <c r="O5" s="16">
        <f t="shared" si="1"/>
        <v>2692.5</v>
      </c>
      <c r="P5" s="15" t="s">
        <v>18</v>
      </c>
      <c r="Q5" s="15">
        <v>0.06</v>
      </c>
      <c r="R5" s="16">
        <f t="shared" si="2"/>
        <v>161.54999999999998</v>
      </c>
      <c r="S5" s="15">
        <v>0</v>
      </c>
      <c r="T5" s="15">
        <v>0</v>
      </c>
      <c r="U5" s="17">
        <f t="shared" si="3"/>
        <v>161.54999999999998</v>
      </c>
      <c r="V5" s="12" t="s">
        <v>19</v>
      </c>
      <c r="W5" s="12">
        <v>1</v>
      </c>
      <c r="AB5" s="12" t="s">
        <v>49</v>
      </c>
      <c r="AC5" s="12">
        <v>2063556</v>
      </c>
    </row>
    <row r="6" spans="1:29" s="12" customFormat="1" ht="30.75" customHeight="1" thickTop="1" thickBot="1" x14ac:dyDescent="0.35">
      <c r="A6" s="20" t="s">
        <v>60</v>
      </c>
      <c r="B6" s="10"/>
      <c r="C6" s="10"/>
      <c r="D6" s="10" t="s">
        <v>50</v>
      </c>
      <c r="G6" s="13">
        <f t="shared" si="4"/>
        <v>5</v>
      </c>
      <c r="H6" s="18">
        <v>45658</v>
      </c>
      <c r="I6" s="15" t="s">
        <v>23</v>
      </c>
      <c r="J6" s="15">
        <v>18000</v>
      </c>
      <c r="K6" s="15">
        <v>100</v>
      </c>
      <c r="L6" s="15">
        <v>16920</v>
      </c>
      <c r="M6" s="16">
        <f t="shared" si="0"/>
        <v>169.2</v>
      </c>
      <c r="N6" s="15">
        <v>0</v>
      </c>
      <c r="O6" s="16">
        <f t="shared" si="1"/>
        <v>18000</v>
      </c>
      <c r="P6" s="15" t="s">
        <v>18</v>
      </c>
      <c r="Q6" s="15">
        <v>0.06</v>
      </c>
      <c r="R6" s="16">
        <f t="shared" si="2"/>
        <v>1080</v>
      </c>
      <c r="S6" s="15">
        <v>0</v>
      </c>
      <c r="T6" s="15">
        <v>0</v>
      </c>
      <c r="U6" s="17">
        <f t="shared" si="3"/>
        <v>1080</v>
      </c>
      <c r="V6" s="12" t="s">
        <v>19</v>
      </c>
      <c r="W6" s="12">
        <v>1</v>
      </c>
      <c r="AB6" s="12" t="s">
        <v>50</v>
      </c>
      <c r="AC6" s="12">
        <v>2356184</v>
      </c>
    </row>
    <row r="7" spans="1:29" s="12" customFormat="1" ht="30.75" customHeight="1" thickTop="1" thickBot="1" x14ac:dyDescent="0.35">
      <c r="A7" s="20" t="s">
        <v>74</v>
      </c>
      <c r="B7" s="10"/>
      <c r="C7" s="10"/>
      <c r="D7" s="10" t="s">
        <v>123</v>
      </c>
      <c r="G7" s="13">
        <f t="shared" si="4"/>
        <v>6</v>
      </c>
      <c r="H7" s="18">
        <v>45658</v>
      </c>
      <c r="I7" s="15" t="s">
        <v>24</v>
      </c>
      <c r="J7" s="15">
        <v>4575.6000000000004</v>
      </c>
      <c r="K7" s="15">
        <v>15</v>
      </c>
      <c r="L7" s="15">
        <v>4301.0600000000004</v>
      </c>
      <c r="M7" s="16">
        <f t="shared" si="0"/>
        <v>286.73733333333337</v>
      </c>
      <c r="N7" s="15">
        <v>0</v>
      </c>
      <c r="O7" s="16">
        <f t="shared" si="1"/>
        <v>4575.6000000000004</v>
      </c>
      <c r="P7" s="15" t="s">
        <v>18</v>
      </c>
      <c r="Q7" s="15">
        <v>0.06</v>
      </c>
      <c r="R7" s="16">
        <f t="shared" si="2"/>
        <v>274.536</v>
      </c>
      <c r="S7" s="15">
        <v>0</v>
      </c>
      <c r="T7" s="15">
        <v>0</v>
      </c>
      <c r="U7" s="17">
        <f t="shared" si="3"/>
        <v>274.536</v>
      </c>
      <c r="V7" s="12" t="s">
        <v>19</v>
      </c>
      <c r="W7" s="12">
        <v>1</v>
      </c>
      <c r="AB7" s="12" t="s">
        <v>123</v>
      </c>
      <c r="AC7" s="12">
        <v>2624380</v>
      </c>
    </row>
    <row r="8" spans="1:29" s="12" customFormat="1" ht="30.75" customHeight="1" thickTop="1" thickBot="1" x14ac:dyDescent="0.35">
      <c r="A8" s="20" t="s">
        <v>75</v>
      </c>
      <c r="B8" s="10"/>
      <c r="C8" s="10"/>
      <c r="D8" s="10" t="s">
        <v>53</v>
      </c>
      <c r="G8" s="13">
        <f t="shared" si="4"/>
        <v>7</v>
      </c>
      <c r="H8" s="18">
        <v>45658</v>
      </c>
      <c r="I8" s="15" t="s">
        <v>25</v>
      </c>
      <c r="J8" s="15">
        <v>66022</v>
      </c>
      <c r="K8" s="15">
        <v>275</v>
      </c>
      <c r="L8" s="15">
        <v>53154.31</v>
      </c>
      <c r="M8" s="16">
        <f t="shared" si="0"/>
        <v>193.2884</v>
      </c>
      <c r="N8" s="15">
        <v>0</v>
      </c>
      <c r="O8" s="16">
        <f t="shared" si="1"/>
        <v>66022</v>
      </c>
      <c r="P8" s="15" t="s">
        <v>26</v>
      </c>
      <c r="Q8" s="15">
        <v>0.02</v>
      </c>
      <c r="R8" s="16">
        <f t="shared" si="2"/>
        <v>1320.44</v>
      </c>
      <c r="S8" s="15">
        <v>0</v>
      </c>
      <c r="T8" s="15">
        <v>0</v>
      </c>
      <c r="U8" s="17">
        <f t="shared" si="3"/>
        <v>1320.44</v>
      </c>
      <c r="V8" s="12" t="s">
        <v>19</v>
      </c>
      <c r="W8" s="12">
        <v>1</v>
      </c>
      <c r="AB8" s="12" t="s">
        <v>53</v>
      </c>
      <c r="AC8" s="12">
        <v>2722616</v>
      </c>
    </row>
    <row r="9" spans="1:29" s="12" customFormat="1" ht="30.75" customHeight="1" thickTop="1" thickBot="1" x14ac:dyDescent="0.35">
      <c r="A9" s="20" t="s">
        <v>34</v>
      </c>
      <c r="B9" s="10"/>
      <c r="C9" s="10"/>
      <c r="D9" s="10" t="s">
        <v>54</v>
      </c>
      <c r="G9" s="13">
        <f t="shared" si="4"/>
        <v>8</v>
      </c>
      <c r="H9" s="18">
        <v>45661</v>
      </c>
      <c r="I9" s="15" t="s">
        <v>27</v>
      </c>
      <c r="J9" s="15">
        <v>8700.5</v>
      </c>
      <c r="K9" s="15">
        <v>25</v>
      </c>
      <c r="L9" s="15">
        <v>7891.35</v>
      </c>
      <c r="M9" s="16">
        <f t="shared" si="0"/>
        <v>315.654</v>
      </c>
      <c r="N9" s="15">
        <v>0</v>
      </c>
      <c r="O9" s="16">
        <f t="shared" si="1"/>
        <v>8700.5</v>
      </c>
      <c r="P9" s="15" t="s">
        <v>26</v>
      </c>
      <c r="Q9" s="15">
        <v>0.02</v>
      </c>
      <c r="R9" s="16">
        <f t="shared" si="2"/>
        <v>174.01</v>
      </c>
      <c r="S9" s="15">
        <v>0</v>
      </c>
      <c r="T9" s="15">
        <v>0</v>
      </c>
      <c r="U9" s="17">
        <f t="shared" si="3"/>
        <v>174.01</v>
      </c>
      <c r="V9" s="12" t="s">
        <v>19</v>
      </c>
      <c r="W9" s="12">
        <v>2</v>
      </c>
      <c r="AB9" s="12" t="s">
        <v>54</v>
      </c>
      <c r="AC9" s="12">
        <v>2415972</v>
      </c>
    </row>
    <row r="10" spans="1:29" s="12" customFormat="1" ht="30.75" customHeight="1" thickTop="1" thickBot="1" x14ac:dyDescent="0.35">
      <c r="A10" s="20" t="s">
        <v>76</v>
      </c>
      <c r="B10" s="10"/>
      <c r="C10" s="10"/>
      <c r="D10" s="10" t="s">
        <v>55</v>
      </c>
      <c r="G10" s="13">
        <f t="shared" si="4"/>
        <v>9</v>
      </c>
      <c r="H10" s="18">
        <v>45661</v>
      </c>
      <c r="I10" s="15" t="s">
        <v>28</v>
      </c>
      <c r="J10" s="15">
        <v>50625</v>
      </c>
      <c r="K10" s="15">
        <v>100</v>
      </c>
      <c r="L10" s="15">
        <v>49612.5</v>
      </c>
      <c r="M10" s="16">
        <f t="shared" si="0"/>
        <v>496.125</v>
      </c>
      <c r="N10" s="15">
        <v>0</v>
      </c>
      <c r="O10" s="16">
        <f t="shared" si="1"/>
        <v>50625</v>
      </c>
      <c r="P10" s="15" t="s">
        <v>29</v>
      </c>
      <c r="Q10" s="15">
        <v>0.02</v>
      </c>
      <c r="R10" s="16">
        <f t="shared" si="2"/>
        <v>1012.5</v>
      </c>
      <c r="S10" s="15">
        <v>0</v>
      </c>
      <c r="T10" s="15">
        <v>0</v>
      </c>
      <c r="U10" s="17">
        <f t="shared" si="3"/>
        <v>1012.5</v>
      </c>
      <c r="V10" s="12" t="s">
        <v>19</v>
      </c>
      <c r="W10" s="12">
        <v>2</v>
      </c>
      <c r="AB10" s="12" t="s">
        <v>55</v>
      </c>
      <c r="AC10" s="12">
        <v>3351223</v>
      </c>
    </row>
    <row r="11" spans="1:29" s="12" customFormat="1" ht="30.75" customHeight="1" thickTop="1" thickBot="1" x14ac:dyDescent="0.35">
      <c r="A11" s="20" t="s">
        <v>51</v>
      </c>
      <c r="B11" s="10"/>
      <c r="D11" s="10" t="s">
        <v>58</v>
      </c>
      <c r="G11" s="13">
        <f t="shared" si="4"/>
        <v>10</v>
      </c>
      <c r="H11" s="18">
        <v>45661</v>
      </c>
      <c r="I11" s="15" t="s">
        <v>30</v>
      </c>
      <c r="J11" s="15">
        <v>42768</v>
      </c>
      <c r="K11" s="15">
        <v>150</v>
      </c>
      <c r="L11" s="15">
        <v>34184.46</v>
      </c>
      <c r="M11" s="16">
        <f t="shared" si="0"/>
        <v>227.8964</v>
      </c>
      <c r="N11" s="15">
        <v>0</v>
      </c>
      <c r="O11" s="16">
        <f t="shared" si="1"/>
        <v>42768</v>
      </c>
      <c r="P11" s="15" t="s">
        <v>18</v>
      </c>
      <c r="Q11" s="15">
        <v>0.06</v>
      </c>
      <c r="R11" s="16">
        <f t="shared" si="2"/>
        <v>2566.08</v>
      </c>
      <c r="S11" s="15">
        <v>0</v>
      </c>
      <c r="T11" s="15">
        <v>0</v>
      </c>
      <c r="U11" s="17">
        <f t="shared" si="3"/>
        <v>2566.08</v>
      </c>
      <c r="V11" s="12" t="s">
        <v>19</v>
      </c>
      <c r="W11" s="12">
        <v>2</v>
      </c>
      <c r="AB11" s="12" t="s">
        <v>58</v>
      </c>
      <c r="AC11" s="12">
        <v>2721443</v>
      </c>
    </row>
    <row r="12" spans="1:29" s="12" customFormat="1" ht="30.75" customHeight="1" thickTop="1" thickBot="1" x14ac:dyDescent="0.35">
      <c r="A12"/>
      <c r="B12" s="10"/>
      <c r="D12" s="10" t="s">
        <v>59</v>
      </c>
      <c r="G12" s="13">
        <f t="shared" si="4"/>
        <v>11</v>
      </c>
      <c r="H12" s="18">
        <v>45661</v>
      </c>
      <c r="I12" s="15" t="s">
        <v>17</v>
      </c>
      <c r="J12" s="15">
        <v>57024</v>
      </c>
      <c r="K12" s="15">
        <v>200</v>
      </c>
      <c r="L12" s="15">
        <v>45579.28</v>
      </c>
      <c r="M12" s="16">
        <f t="shared" si="0"/>
        <v>227.8964</v>
      </c>
      <c r="N12" s="15">
        <v>0</v>
      </c>
      <c r="O12" s="16">
        <f t="shared" si="1"/>
        <v>57024</v>
      </c>
      <c r="P12" s="15" t="s">
        <v>18</v>
      </c>
      <c r="Q12" s="15">
        <v>0.06</v>
      </c>
      <c r="R12" s="16">
        <f t="shared" si="2"/>
        <v>3421.44</v>
      </c>
      <c r="S12" s="15">
        <v>0</v>
      </c>
      <c r="T12" s="15">
        <v>0</v>
      </c>
      <c r="U12" s="17">
        <f t="shared" si="3"/>
        <v>3421.44</v>
      </c>
      <c r="V12" s="12" t="s">
        <v>19</v>
      </c>
      <c r="W12" s="12">
        <v>2</v>
      </c>
      <c r="AB12" s="12" t="s">
        <v>59</v>
      </c>
      <c r="AC12" s="12">
        <v>2811051</v>
      </c>
    </row>
    <row r="13" spans="1:29" s="12" customFormat="1" ht="30.75" customHeight="1" thickTop="1" thickBot="1" x14ac:dyDescent="0.35">
      <c r="A13"/>
      <c r="B13" s="10"/>
      <c r="D13" s="10" t="s">
        <v>63</v>
      </c>
      <c r="G13" s="13">
        <f t="shared" si="4"/>
        <v>12</v>
      </c>
      <c r="H13" s="18">
        <v>45661</v>
      </c>
      <c r="I13" s="15" t="s">
        <v>20</v>
      </c>
      <c r="J13" s="15">
        <v>584</v>
      </c>
      <c r="K13" s="15">
        <v>2</v>
      </c>
      <c r="L13" s="15">
        <v>548.96</v>
      </c>
      <c r="M13" s="16">
        <f t="shared" si="0"/>
        <v>274.48</v>
      </c>
      <c r="N13" s="15">
        <v>0</v>
      </c>
      <c r="O13" s="16">
        <f t="shared" si="1"/>
        <v>584</v>
      </c>
      <c r="P13" s="15" t="s">
        <v>18</v>
      </c>
      <c r="Q13" s="15">
        <v>0.06</v>
      </c>
      <c r="R13" s="16">
        <f t="shared" si="2"/>
        <v>35.04</v>
      </c>
      <c r="S13" s="15">
        <v>0</v>
      </c>
      <c r="T13" s="15">
        <v>0</v>
      </c>
      <c r="U13" s="17">
        <f t="shared" si="3"/>
        <v>35.04</v>
      </c>
      <c r="V13" s="12" t="s">
        <v>19</v>
      </c>
      <c r="W13" s="12">
        <v>2</v>
      </c>
      <c r="AB13" s="12" t="s">
        <v>63</v>
      </c>
      <c r="AC13" s="12">
        <v>3869441</v>
      </c>
    </row>
    <row r="14" spans="1:29" s="12" customFormat="1" ht="30.75" customHeight="1" thickTop="1" thickBot="1" x14ac:dyDescent="0.35">
      <c r="A14"/>
      <c r="B14" s="10"/>
      <c r="D14" s="10"/>
      <c r="G14" s="13">
        <f t="shared" si="4"/>
        <v>13</v>
      </c>
      <c r="H14" s="18">
        <v>45661</v>
      </c>
      <c r="I14" s="15" t="s">
        <v>21</v>
      </c>
      <c r="J14" s="15">
        <v>2232</v>
      </c>
      <c r="K14" s="15">
        <v>10</v>
      </c>
      <c r="L14" s="15">
        <v>2098.08</v>
      </c>
      <c r="M14" s="16">
        <f t="shared" si="0"/>
        <v>209.80799999999999</v>
      </c>
      <c r="N14" s="15">
        <v>0</v>
      </c>
      <c r="O14" s="16">
        <f t="shared" si="1"/>
        <v>2232</v>
      </c>
      <c r="P14" s="15" t="s">
        <v>18</v>
      </c>
      <c r="Q14" s="15">
        <v>0.06</v>
      </c>
      <c r="R14" s="16">
        <f t="shared" si="2"/>
        <v>133.91999999999999</v>
      </c>
      <c r="S14" s="15">
        <v>0</v>
      </c>
      <c r="T14" s="15">
        <v>0</v>
      </c>
      <c r="U14" s="17">
        <f t="shared" si="3"/>
        <v>133.91999999999999</v>
      </c>
      <c r="V14" s="12" t="s">
        <v>19</v>
      </c>
      <c r="W14" s="12">
        <v>2</v>
      </c>
    </row>
    <row r="15" spans="1:29" s="12" customFormat="1" ht="30.75" customHeight="1" thickTop="1" thickBot="1" x14ac:dyDescent="0.35">
      <c r="A15"/>
      <c r="B15" s="10"/>
      <c r="D15" s="10"/>
      <c r="G15" s="13">
        <f t="shared" si="4"/>
        <v>14</v>
      </c>
      <c r="H15" s="18">
        <v>45661</v>
      </c>
      <c r="I15" s="15" t="s">
        <v>22</v>
      </c>
      <c r="J15" s="15">
        <v>2692.5</v>
      </c>
      <c r="K15" s="15">
        <v>10</v>
      </c>
      <c r="L15" s="15">
        <v>2530.9499999999998</v>
      </c>
      <c r="M15" s="16">
        <f t="shared" si="0"/>
        <v>253.09499999999997</v>
      </c>
      <c r="N15" s="15">
        <v>0</v>
      </c>
      <c r="O15" s="16">
        <f t="shared" si="1"/>
        <v>2692.5</v>
      </c>
      <c r="P15" s="15" t="s">
        <v>18</v>
      </c>
      <c r="Q15" s="15">
        <v>0.06</v>
      </c>
      <c r="R15" s="16">
        <f t="shared" si="2"/>
        <v>161.54999999999998</v>
      </c>
      <c r="S15" s="15">
        <v>0</v>
      </c>
      <c r="T15" s="15">
        <v>0</v>
      </c>
      <c r="U15" s="17">
        <f t="shared" si="3"/>
        <v>161.54999999999998</v>
      </c>
      <c r="V15" s="12" t="s">
        <v>19</v>
      </c>
      <c r="W15" s="12">
        <v>2</v>
      </c>
    </row>
    <row r="16" spans="1:29" s="12" customFormat="1" ht="30.75" customHeight="1" thickTop="1" thickBot="1" x14ac:dyDescent="0.35">
      <c r="A16"/>
      <c r="B16" s="10"/>
      <c r="D16" s="10"/>
      <c r="G16" s="13">
        <f t="shared" si="4"/>
        <v>15</v>
      </c>
      <c r="H16" s="18">
        <v>45661</v>
      </c>
      <c r="I16" s="15" t="s">
        <v>23</v>
      </c>
      <c r="J16" s="15">
        <v>27000</v>
      </c>
      <c r="K16" s="15">
        <v>150</v>
      </c>
      <c r="L16" s="15">
        <v>25380</v>
      </c>
      <c r="M16" s="16">
        <f t="shared" si="0"/>
        <v>169.2</v>
      </c>
      <c r="N16" s="15">
        <v>0</v>
      </c>
      <c r="O16" s="16">
        <f t="shared" si="1"/>
        <v>27000</v>
      </c>
      <c r="P16" s="15" t="s">
        <v>18</v>
      </c>
      <c r="Q16" s="15">
        <v>0.06</v>
      </c>
      <c r="R16" s="16">
        <f t="shared" si="2"/>
        <v>1620</v>
      </c>
      <c r="S16" s="15">
        <v>0</v>
      </c>
      <c r="T16" s="15">
        <v>0</v>
      </c>
      <c r="U16" s="17">
        <f t="shared" si="3"/>
        <v>1620</v>
      </c>
      <c r="V16" s="12" t="s">
        <v>19</v>
      </c>
      <c r="W16" s="12">
        <v>2</v>
      </c>
    </row>
    <row r="17" spans="1:23" s="12" customFormat="1" ht="30.75" customHeight="1" thickTop="1" thickBot="1" x14ac:dyDescent="0.35">
      <c r="A17"/>
      <c r="B17" s="10"/>
      <c r="D17" s="10"/>
      <c r="G17" s="13">
        <f t="shared" si="4"/>
        <v>16</v>
      </c>
      <c r="H17" s="18">
        <v>45661</v>
      </c>
      <c r="I17" s="15" t="s">
        <v>24</v>
      </c>
      <c r="J17" s="15">
        <v>3050.4</v>
      </c>
      <c r="K17" s="15">
        <v>10</v>
      </c>
      <c r="L17" s="15">
        <v>2867.38</v>
      </c>
      <c r="M17" s="16">
        <f t="shared" si="0"/>
        <v>286.738</v>
      </c>
      <c r="N17" s="15">
        <v>0</v>
      </c>
      <c r="O17" s="16">
        <f t="shared" si="1"/>
        <v>3050.4</v>
      </c>
      <c r="P17" s="15" t="s">
        <v>18</v>
      </c>
      <c r="Q17" s="15">
        <v>0.06</v>
      </c>
      <c r="R17" s="16">
        <f t="shared" si="2"/>
        <v>183.024</v>
      </c>
      <c r="S17" s="15">
        <v>0</v>
      </c>
      <c r="T17" s="15">
        <v>0</v>
      </c>
      <c r="U17" s="17">
        <f t="shared" si="3"/>
        <v>183.024</v>
      </c>
      <c r="V17" s="12" t="s">
        <v>19</v>
      </c>
      <c r="W17" s="12">
        <v>2</v>
      </c>
    </row>
    <row r="18" spans="1:23" s="12" customFormat="1" ht="30.75" customHeight="1" thickTop="1" thickBot="1" x14ac:dyDescent="0.35">
      <c r="A18"/>
      <c r="B18" s="10"/>
      <c r="D18" s="10"/>
      <c r="G18" s="13">
        <f t="shared" si="4"/>
        <v>17</v>
      </c>
      <c r="H18" s="18">
        <v>45661</v>
      </c>
      <c r="I18" s="15" t="s">
        <v>31</v>
      </c>
      <c r="J18" s="15">
        <v>3600</v>
      </c>
      <c r="K18" s="15">
        <v>20</v>
      </c>
      <c r="L18" s="15">
        <v>3384</v>
      </c>
      <c r="M18" s="16">
        <f t="shared" si="0"/>
        <v>169.2</v>
      </c>
      <c r="N18" s="15">
        <v>0</v>
      </c>
      <c r="O18" s="16">
        <f t="shared" si="1"/>
        <v>3600</v>
      </c>
      <c r="P18" s="15" t="s">
        <v>18</v>
      </c>
      <c r="Q18" s="15">
        <v>0.06</v>
      </c>
      <c r="R18" s="16">
        <f t="shared" si="2"/>
        <v>216</v>
      </c>
      <c r="S18" s="15">
        <v>0</v>
      </c>
      <c r="T18" s="15">
        <v>0</v>
      </c>
      <c r="U18" s="17">
        <f t="shared" si="3"/>
        <v>216</v>
      </c>
      <c r="V18" s="12" t="s">
        <v>19</v>
      </c>
      <c r="W18" s="12">
        <v>2</v>
      </c>
    </row>
    <row r="19" spans="1:23" s="12" customFormat="1" ht="30.75" customHeight="1" thickTop="1" thickBot="1" x14ac:dyDescent="0.35">
      <c r="A19"/>
      <c r="B19" s="10"/>
      <c r="D19" s="10"/>
      <c r="G19" s="13">
        <f t="shared" si="4"/>
        <v>18</v>
      </c>
      <c r="H19" s="18">
        <v>45663</v>
      </c>
      <c r="I19" s="15" t="s">
        <v>32</v>
      </c>
      <c r="J19" s="15">
        <v>15916.32</v>
      </c>
      <c r="K19" s="15">
        <v>28</v>
      </c>
      <c r="L19" s="15">
        <v>15120.5</v>
      </c>
      <c r="M19" s="16">
        <f t="shared" si="0"/>
        <v>540.01785714285711</v>
      </c>
      <c r="N19" s="15">
        <v>0</v>
      </c>
      <c r="O19" s="16">
        <f t="shared" si="1"/>
        <v>15916.32</v>
      </c>
      <c r="P19" s="15" t="s">
        <v>33</v>
      </c>
      <c r="Q19" s="15">
        <v>0.01</v>
      </c>
      <c r="R19" s="16">
        <f t="shared" si="2"/>
        <v>159.16319999999999</v>
      </c>
      <c r="S19" s="15">
        <v>0</v>
      </c>
      <c r="T19" s="15">
        <v>0</v>
      </c>
      <c r="U19" s="17">
        <f t="shared" si="3"/>
        <v>159.16319999999999</v>
      </c>
      <c r="V19" s="12" t="s">
        <v>19</v>
      </c>
      <c r="W19" s="12">
        <v>3</v>
      </c>
    </row>
    <row r="20" spans="1:23" s="12" customFormat="1" ht="30.75" customHeight="1" thickTop="1" thickBot="1" x14ac:dyDescent="0.35">
      <c r="A20"/>
      <c r="B20" s="10"/>
      <c r="D20" s="10"/>
      <c r="G20" s="13">
        <f t="shared" si="4"/>
        <v>19</v>
      </c>
      <c r="H20" s="18">
        <v>45663</v>
      </c>
      <c r="I20" s="15" t="s">
        <v>34</v>
      </c>
      <c r="J20" s="15">
        <v>9153</v>
      </c>
      <c r="K20" s="15">
        <v>30</v>
      </c>
      <c r="L20" s="15">
        <v>8695.35</v>
      </c>
      <c r="M20" s="16">
        <f t="shared" si="0"/>
        <v>289.84500000000003</v>
      </c>
      <c r="N20" s="15">
        <v>0</v>
      </c>
      <c r="O20" s="16">
        <f t="shared" si="1"/>
        <v>9153</v>
      </c>
      <c r="P20" s="15" t="s">
        <v>33</v>
      </c>
      <c r="Q20" s="15">
        <v>0.01</v>
      </c>
      <c r="R20" s="16">
        <f t="shared" si="2"/>
        <v>91.53</v>
      </c>
      <c r="S20" s="15">
        <v>0</v>
      </c>
      <c r="T20" s="15">
        <v>0</v>
      </c>
      <c r="U20" s="17">
        <f t="shared" si="3"/>
        <v>91.53</v>
      </c>
      <c r="V20" s="12" t="s">
        <v>19</v>
      </c>
      <c r="W20" s="12">
        <v>3</v>
      </c>
    </row>
    <row r="21" spans="1:23" s="12" customFormat="1" ht="30.75" customHeight="1" thickTop="1" thickBot="1" x14ac:dyDescent="0.35">
      <c r="A21"/>
      <c r="B21" s="10"/>
      <c r="D21" s="10"/>
      <c r="G21" s="13">
        <f t="shared" si="4"/>
        <v>20</v>
      </c>
      <c r="H21" s="18">
        <v>45663</v>
      </c>
      <c r="I21" s="15" t="s">
        <v>30</v>
      </c>
      <c r="J21" s="15">
        <v>42768</v>
      </c>
      <c r="K21" s="15">
        <v>150</v>
      </c>
      <c r="L21" s="15">
        <v>34184.46</v>
      </c>
      <c r="M21" s="16">
        <f t="shared" si="0"/>
        <v>227.8964</v>
      </c>
      <c r="N21" s="15">
        <v>0</v>
      </c>
      <c r="O21" s="16">
        <f t="shared" si="1"/>
        <v>42768</v>
      </c>
      <c r="P21" s="15" t="s">
        <v>18</v>
      </c>
      <c r="Q21" s="15">
        <v>0.06</v>
      </c>
      <c r="R21" s="16">
        <f t="shared" si="2"/>
        <v>2566.08</v>
      </c>
      <c r="S21" s="15">
        <v>0</v>
      </c>
      <c r="T21" s="15">
        <v>0</v>
      </c>
      <c r="U21" s="17">
        <f t="shared" si="3"/>
        <v>2566.08</v>
      </c>
      <c r="V21" s="12" t="s">
        <v>19</v>
      </c>
      <c r="W21" s="12">
        <v>3</v>
      </c>
    </row>
    <row r="22" spans="1:23" s="12" customFormat="1" ht="30.75" customHeight="1" thickTop="1" thickBot="1" x14ac:dyDescent="0.35">
      <c r="A22"/>
      <c r="B22" s="10"/>
      <c r="D22" s="10"/>
      <c r="G22" s="13">
        <f t="shared" si="4"/>
        <v>21</v>
      </c>
      <c r="H22" s="18">
        <v>45663</v>
      </c>
      <c r="I22" s="15" t="s">
        <v>17</v>
      </c>
      <c r="J22" s="15">
        <v>42768</v>
      </c>
      <c r="K22" s="15">
        <v>150</v>
      </c>
      <c r="L22" s="15">
        <v>34184.46</v>
      </c>
      <c r="M22" s="16">
        <f t="shared" si="0"/>
        <v>227.8964</v>
      </c>
      <c r="N22" s="15">
        <v>0</v>
      </c>
      <c r="O22" s="16">
        <f t="shared" si="1"/>
        <v>42768</v>
      </c>
      <c r="P22" s="15" t="s">
        <v>18</v>
      </c>
      <c r="Q22" s="15">
        <v>0.06</v>
      </c>
      <c r="R22" s="16">
        <f t="shared" si="2"/>
        <v>2566.08</v>
      </c>
      <c r="S22" s="15">
        <v>0</v>
      </c>
      <c r="T22" s="15">
        <v>0</v>
      </c>
      <c r="U22" s="17">
        <f t="shared" si="3"/>
        <v>2566.08</v>
      </c>
      <c r="V22" s="12" t="s">
        <v>19</v>
      </c>
      <c r="W22" s="12">
        <v>3</v>
      </c>
    </row>
    <row r="23" spans="1:23" s="12" customFormat="1" ht="30.75" customHeight="1" thickTop="1" thickBot="1" x14ac:dyDescent="0.35">
      <c r="A23"/>
      <c r="B23" s="10"/>
      <c r="D23" s="10"/>
      <c r="G23" s="13">
        <f t="shared" si="4"/>
        <v>22</v>
      </c>
      <c r="H23" s="18">
        <v>45663</v>
      </c>
      <c r="I23" s="15" t="s">
        <v>35</v>
      </c>
      <c r="J23" s="15">
        <v>13125</v>
      </c>
      <c r="K23" s="15">
        <v>75</v>
      </c>
      <c r="L23" s="15">
        <v>12337.5</v>
      </c>
      <c r="M23" s="16">
        <f t="shared" si="0"/>
        <v>164.5</v>
      </c>
      <c r="N23" s="15">
        <v>0</v>
      </c>
      <c r="O23" s="16">
        <f t="shared" si="1"/>
        <v>13125</v>
      </c>
      <c r="P23" s="15" t="s">
        <v>18</v>
      </c>
      <c r="Q23" s="15">
        <v>0.06</v>
      </c>
      <c r="R23" s="16">
        <f t="shared" si="2"/>
        <v>787.5</v>
      </c>
      <c r="S23" s="15">
        <v>0</v>
      </c>
      <c r="T23" s="15">
        <v>0</v>
      </c>
      <c r="U23" s="17">
        <f t="shared" si="3"/>
        <v>787.5</v>
      </c>
      <c r="V23" s="12" t="s">
        <v>19</v>
      </c>
      <c r="W23" s="12">
        <v>3</v>
      </c>
    </row>
    <row r="24" spans="1:23" s="12" customFormat="1" ht="30.75" customHeight="1" thickTop="1" thickBot="1" x14ac:dyDescent="0.35">
      <c r="A24"/>
      <c r="B24" s="10"/>
      <c r="D24" s="10"/>
      <c r="G24" s="13">
        <f t="shared" si="4"/>
        <v>23</v>
      </c>
      <c r="H24" s="18">
        <v>45663</v>
      </c>
      <c r="I24" s="15" t="s">
        <v>21</v>
      </c>
      <c r="J24" s="15">
        <v>2232</v>
      </c>
      <c r="K24" s="15">
        <v>10</v>
      </c>
      <c r="L24" s="15">
        <v>2098.06</v>
      </c>
      <c r="M24" s="16">
        <f t="shared" si="0"/>
        <v>209.80599999999998</v>
      </c>
      <c r="N24" s="15">
        <v>0</v>
      </c>
      <c r="O24" s="16">
        <f t="shared" si="1"/>
        <v>2232</v>
      </c>
      <c r="P24" s="15" t="s">
        <v>18</v>
      </c>
      <c r="Q24" s="15">
        <v>0.06</v>
      </c>
      <c r="R24" s="16">
        <f t="shared" si="2"/>
        <v>133.91999999999999</v>
      </c>
      <c r="S24" s="15">
        <v>0</v>
      </c>
      <c r="T24" s="15">
        <v>0</v>
      </c>
      <c r="U24" s="17">
        <f t="shared" si="3"/>
        <v>133.91999999999999</v>
      </c>
      <c r="V24" s="12" t="s">
        <v>19</v>
      </c>
      <c r="W24" s="12">
        <v>3</v>
      </c>
    </row>
    <row r="25" spans="1:23" s="12" customFormat="1" ht="30.75" customHeight="1" thickTop="1" thickBot="1" x14ac:dyDescent="0.35">
      <c r="A25"/>
      <c r="B25" s="10"/>
      <c r="D25" s="10"/>
      <c r="G25" s="13">
        <f t="shared" si="4"/>
        <v>24</v>
      </c>
      <c r="H25" s="18">
        <v>45663</v>
      </c>
      <c r="I25" s="15" t="s">
        <v>22</v>
      </c>
      <c r="J25" s="15">
        <v>2692.5</v>
      </c>
      <c r="K25" s="15">
        <v>10</v>
      </c>
      <c r="L25" s="15">
        <v>2530.9499999999998</v>
      </c>
      <c r="M25" s="16">
        <f t="shared" si="0"/>
        <v>253.09499999999997</v>
      </c>
      <c r="N25" s="15">
        <v>0</v>
      </c>
      <c r="O25" s="16">
        <f t="shared" si="1"/>
        <v>2692.5</v>
      </c>
      <c r="P25" s="15" t="s">
        <v>18</v>
      </c>
      <c r="Q25" s="15">
        <v>0.06</v>
      </c>
      <c r="R25" s="16">
        <f t="shared" si="2"/>
        <v>161.54999999999998</v>
      </c>
      <c r="S25" s="15">
        <v>0</v>
      </c>
      <c r="T25" s="15">
        <v>0</v>
      </c>
      <c r="U25" s="17">
        <f t="shared" si="3"/>
        <v>161.54999999999998</v>
      </c>
      <c r="V25" s="12" t="s">
        <v>19</v>
      </c>
      <c r="W25" s="12">
        <v>3</v>
      </c>
    </row>
    <row r="26" spans="1:23" s="12" customFormat="1" ht="30.75" customHeight="1" thickTop="1" thickBot="1" x14ac:dyDescent="0.35">
      <c r="A26"/>
      <c r="D26" s="10"/>
      <c r="G26" s="13">
        <f t="shared" si="4"/>
        <v>25</v>
      </c>
      <c r="H26" s="18">
        <v>45663</v>
      </c>
      <c r="I26" s="15" t="s">
        <v>23</v>
      </c>
      <c r="J26" s="15">
        <v>18000</v>
      </c>
      <c r="K26" s="15">
        <v>100</v>
      </c>
      <c r="L26" s="15">
        <v>16920</v>
      </c>
      <c r="M26" s="16">
        <f t="shared" si="0"/>
        <v>169.2</v>
      </c>
      <c r="N26" s="15">
        <v>0</v>
      </c>
      <c r="O26" s="16">
        <f t="shared" si="1"/>
        <v>18000</v>
      </c>
      <c r="P26" s="15" t="s">
        <v>18</v>
      </c>
      <c r="Q26" s="15">
        <v>0.06</v>
      </c>
      <c r="R26" s="16">
        <f t="shared" si="2"/>
        <v>1080</v>
      </c>
      <c r="S26" s="15">
        <v>0</v>
      </c>
      <c r="T26" s="15">
        <v>0</v>
      </c>
      <c r="U26" s="17">
        <f t="shared" si="3"/>
        <v>1080</v>
      </c>
      <c r="V26" s="12" t="s">
        <v>19</v>
      </c>
      <c r="W26" s="12">
        <v>3</v>
      </c>
    </row>
    <row r="27" spans="1:23" s="12" customFormat="1" ht="30.75" customHeight="1" thickTop="1" thickBot="1" x14ac:dyDescent="0.35">
      <c r="A27"/>
      <c r="D27" s="10"/>
      <c r="G27" s="13">
        <f t="shared" si="4"/>
        <v>26</v>
      </c>
      <c r="H27" s="18">
        <v>45663</v>
      </c>
      <c r="I27" s="15" t="s">
        <v>24</v>
      </c>
      <c r="J27" s="15">
        <v>3050.4</v>
      </c>
      <c r="K27" s="15">
        <v>10</v>
      </c>
      <c r="L27" s="15">
        <v>2867.38</v>
      </c>
      <c r="M27" s="16">
        <f t="shared" si="0"/>
        <v>286.738</v>
      </c>
      <c r="N27" s="15">
        <v>0</v>
      </c>
      <c r="O27" s="16">
        <f t="shared" si="1"/>
        <v>3050.4</v>
      </c>
      <c r="P27" s="15" t="s">
        <v>18</v>
      </c>
      <c r="Q27" s="15">
        <v>0.06</v>
      </c>
      <c r="R27" s="16">
        <f t="shared" si="2"/>
        <v>183.024</v>
      </c>
      <c r="S27" s="15">
        <v>0</v>
      </c>
      <c r="T27" s="15">
        <v>0</v>
      </c>
      <c r="U27" s="17">
        <f t="shared" si="3"/>
        <v>183.024</v>
      </c>
      <c r="V27" s="12" t="s">
        <v>19</v>
      </c>
      <c r="W27" s="12">
        <v>3</v>
      </c>
    </row>
    <row r="28" spans="1:23" s="12" customFormat="1" ht="30.75" customHeight="1" thickTop="1" thickBot="1" x14ac:dyDescent="0.35">
      <c r="A28"/>
      <c r="D28" s="10"/>
      <c r="G28" s="13">
        <f t="shared" si="4"/>
        <v>27</v>
      </c>
      <c r="H28" s="18">
        <v>45663</v>
      </c>
      <c r="I28" s="15" t="s">
        <v>31</v>
      </c>
      <c r="J28" s="15">
        <v>1800</v>
      </c>
      <c r="K28" s="15">
        <v>10</v>
      </c>
      <c r="L28" s="15">
        <v>1692</v>
      </c>
      <c r="M28" s="16">
        <f t="shared" si="0"/>
        <v>169.2</v>
      </c>
      <c r="N28" s="15">
        <v>0</v>
      </c>
      <c r="O28" s="16">
        <f t="shared" si="1"/>
        <v>1800</v>
      </c>
      <c r="P28" s="15" t="s">
        <v>18</v>
      </c>
      <c r="Q28" s="15">
        <v>0.06</v>
      </c>
      <c r="R28" s="16">
        <f t="shared" si="2"/>
        <v>108</v>
      </c>
      <c r="S28" s="15">
        <v>0</v>
      </c>
      <c r="T28" s="15">
        <v>0</v>
      </c>
      <c r="U28" s="17">
        <f t="shared" si="3"/>
        <v>108</v>
      </c>
      <c r="V28" s="12" t="s">
        <v>19</v>
      </c>
      <c r="W28" s="12">
        <v>3</v>
      </c>
    </row>
    <row r="29" spans="1:23" s="12" customFormat="1" ht="30.75" customHeight="1" thickTop="1" thickBot="1" x14ac:dyDescent="0.35">
      <c r="A29"/>
      <c r="D29" s="10"/>
      <c r="G29" s="13">
        <f t="shared" si="4"/>
        <v>28</v>
      </c>
      <c r="H29" s="18">
        <v>45665</v>
      </c>
      <c r="I29" s="15" t="s">
        <v>32</v>
      </c>
      <c r="J29" s="15">
        <v>17053.2</v>
      </c>
      <c r="K29" s="15">
        <v>30</v>
      </c>
      <c r="L29" s="15">
        <v>16200.54</v>
      </c>
      <c r="M29" s="16">
        <f t="shared" si="0"/>
        <v>540.01800000000003</v>
      </c>
      <c r="N29" s="15">
        <v>0</v>
      </c>
      <c r="O29" s="16">
        <f t="shared" si="1"/>
        <v>17053.2</v>
      </c>
      <c r="P29" s="15" t="s">
        <v>33</v>
      </c>
      <c r="Q29" s="15">
        <v>0.01</v>
      </c>
      <c r="R29" s="16">
        <f t="shared" si="2"/>
        <v>170.53200000000001</v>
      </c>
      <c r="S29" s="15">
        <v>0</v>
      </c>
      <c r="T29" s="15">
        <v>0</v>
      </c>
      <c r="U29" s="17">
        <f t="shared" si="3"/>
        <v>170.53200000000001</v>
      </c>
      <c r="V29" s="12" t="s">
        <v>19</v>
      </c>
      <c r="W29" s="12">
        <v>4</v>
      </c>
    </row>
    <row r="30" spans="1:23" s="12" customFormat="1" ht="30.75" customHeight="1" thickTop="1" thickBot="1" x14ac:dyDescent="0.35">
      <c r="A30"/>
      <c r="D30" s="10"/>
      <c r="G30" s="13">
        <f t="shared" si="4"/>
        <v>29</v>
      </c>
      <c r="H30" s="18">
        <v>45665</v>
      </c>
      <c r="I30" s="15" t="s">
        <v>30</v>
      </c>
      <c r="J30" s="15">
        <v>42768</v>
      </c>
      <c r="K30" s="15">
        <v>150</v>
      </c>
      <c r="L30" s="15">
        <v>34184.46</v>
      </c>
      <c r="M30" s="16">
        <f t="shared" si="0"/>
        <v>227.8964</v>
      </c>
      <c r="N30" s="15">
        <v>0</v>
      </c>
      <c r="O30" s="16">
        <f t="shared" si="1"/>
        <v>42768</v>
      </c>
      <c r="P30" s="15" t="s">
        <v>18</v>
      </c>
      <c r="Q30" s="15">
        <v>0.06</v>
      </c>
      <c r="R30" s="16">
        <f t="shared" si="2"/>
        <v>2566.08</v>
      </c>
      <c r="S30" s="15">
        <v>0</v>
      </c>
      <c r="T30" s="15">
        <v>0</v>
      </c>
      <c r="U30" s="17">
        <f t="shared" si="3"/>
        <v>2566.08</v>
      </c>
      <c r="V30" s="12" t="s">
        <v>19</v>
      </c>
      <c r="W30" s="12">
        <v>4</v>
      </c>
    </row>
    <row r="31" spans="1:23" s="12" customFormat="1" ht="30.75" customHeight="1" thickTop="1" thickBot="1" x14ac:dyDescent="0.35">
      <c r="A31"/>
      <c r="D31" s="10"/>
      <c r="G31" s="13">
        <f t="shared" si="4"/>
        <v>30</v>
      </c>
      <c r="H31" s="18">
        <v>45665</v>
      </c>
      <c r="I31" s="15" t="s">
        <v>17</v>
      </c>
      <c r="J31" s="15">
        <v>42768</v>
      </c>
      <c r="K31" s="15">
        <v>150</v>
      </c>
      <c r="L31" s="15">
        <v>34184.46</v>
      </c>
      <c r="M31" s="16">
        <f t="shared" si="0"/>
        <v>227.8964</v>
      </c>
      <c r="N31" s="15">
        <v>0</v>
      </c>
      <c r="O31" s="16">
        <f t="shared" si="1"/>
        <v>42768</v>
      </c>
      <c r="P31" s="15" t="s">
        <v>18</v>
      </c>
      <c r="Q31" s="15">
        <v>0.06</v>
      </c>
      <c r="R31" s="16">
        <f t="shared" si="2"/>
        <v>2566.08</v>
      </c>
      <c r="S31" s="15">
        <v>0</v>
      </c>
      <c r="T31" s="15">
        <v>0</v>
      </c>
      <c r="U31" s="17">
        <f t="shared" si="3"/>
        <v>2566.08</v>
      </c>
      <c r="V31" s="12" t="s">
        <v>19</v>
      </c>
      <c r="W31" s="12">
        <v>4</v>
      </c>
    </row>
    <row r="32" spans="1:23" s="12" customFormat="1" ht="30.75" customHeight="1" thickTop="1" thickBot="1" x14ac:dyDescent="0.35">
      <c r="A32"/>
      <c r="D32" s="10"/>
      <c r="G32" s="13">
        <f t="shared" si="4"/>
        <v>31</v>
      </c>
      <c r="H32" s="18">
        <v>45665</v>
      </c>
      <c r="I32" s="15" t="s">
        <v>20</v>
      </c>
      <c r="J32" s="15">
        <v>584</v>
      </c>
      <c r="K32" s="15">
        <v>2</v>
      </c>
      <c r="L32" s="15">
        <v>548.96</v>
      </c>
      <c r="M32" s="16">
        <f t="shared" si="0"/>
        <v>274.48</v>
      </c>
      <c r="N32" s="15">
        <v>0</v>
      </c>
      <c r="O32" s="16">
        <f t="shared" si="1"/>
        <v>584</v>
      </c>
      <c r="P32" s="15" t="s">
        <v>18</v>
      </c>
      <c r="Q32" s="15">
        <v>0.06</v>
      </c>
      <c r="R32" s="16">
        <f t="shared" si="2"/>
        <v>35.04</v>
      </c>
      <c r="S32" s="15">
        <v>0</v>
      </c>
      <c r="T32" s="15">
        <v>0</v>
      </c>
      <c r="U32" s="17">
        <f t="shared" si="3"/>
        <v>35.04</v>
      </c>
      <c r="V32" s="12" t="s">
        <v>19</v>
      </c>
      <c r="W32" s="12">
        <v>4</v>
      </c>
    </row>
    <row r="33" spans="1:23" s="12" customFormat="1" ht="30.75" customHeight="1" thickTop="1" thickBot="1" x14ac:dyDescent="0.35">
      <c r="A33" s="21" t="s">
        <v>27</v>
      </c>
      <c r="D33" s="10"/>
      <c r="G33" s="13">
        <f t="shared" si="4"/>
        <v>32</v>
      </c>
      <c r="H33" s="18">
        <v>45665</v>
      </c>
      <c r="I33" s="15" t="s">
        <v>21</v>
      </c>
      <c r="J33" s="15">
        <v>1116</v>
      </c>
      <c r="K33" s="15">
        <v>5</v>
      </c>
      <c r="L33" s="15">
        <v>1049.04</v>
      </c>
      <c r="M33" s="16">
        <f t="shared" si="0"/>
        <v>209.80799999999999</v>
      </c>
      <c r="N33" s="15">
        <v>0</v>
      </c>
      <c r="O33" s="16">
        <f t="shared" si="1"/>
        <v>1116</v>
      </c>
      <c r="P33" s="15" t="s">
        <v>18</v>
      </c>
      <c r="Q33" s="15">
        <v>0.06</v>
      </c>
      <c r="R33" s="16">
        <f t="shared" si="2"/>
        <v>66.959999999999994</v>
      </c>
      <c r="S33" s="15">
        <v>0</v>
      </c>
      <c r="T33" s="15">
        <v>0</v>
      </c>
      <c r="U33" s="17">
        <f t="shared" si="3"/>
        <v>66.959999999999994</v>
      </c>
      <c r="V33" s="12" t="s">
        <v>19</v>
      </c>
      <c r="W33" s="12">
        <v>4</v>
      </c>
    </row>
    <row r="34" spans="1:23" s="12" customFormat="1" ht="30.75" customHeight="1" thickTop="1" thickBot="1" x14ac:dyDescent="0.35">
      <c r="A34" s="21" t="s">
        <v>38</v>
      </c>
      <c r="D34" s="10"/>
      <c r="G34" s="13">
        <f t="shared" si="4"/>
        <v>33</v>
      </c>
      <c r="H34" s="18">
        <v>45665</v>
      </c>
      <c r="I34" s="15" t="s">
        <v>22</v>
      </c>
      <c r="J34" s="15">
        <v>2692.5</v>
      </c>
      <c r="K34" s="15">
        <v>10</v>
      </c>
      <c r="L34" s="15">
        <v>2530.9499999999998</v>
      </c>
      <c r="M34" s="16">
        <f t="shared" si="0"/>
        <v>253.09499999999997</v>
      </c>
      <c r="N34" s="15">
        <v>0</v>
      </c>
      <c r="O34" s="16">
        <f t="shared" si="1"/>
        <v>2692.5</v>
      </c>
      <c r="P34" s="15" t="s">
        <v>18</v>
      </c>
      <c r="Q34" s="15">
        <v>0.06</v>
      </c>
      <c r="R34" s="16">
        <f t="shared" si="2"/>
        <v>161.54999999999998</v>
      </c>
      <c r="S34" s="15">
        <v>0</v>
      </c>
      <c r="T34" s="15">
        <v>0</v>
      </c>
      <c r="U34" s="17">
        <f t="shared" si="3"/>
        <v>161.54999999999998</v>
      </c>
      <c r="V34" s="12" t="s">
        <v>19</v>
      </c>
      <c r="W34" s="12">
        <v>4</v>
      </c>
    </row>
    <row r="35" spans="1:23" s="12" customFormat="1" ht="30.75" customHeight="1" thickTop="1" thickBot="1" x14ac:dyDescent="0.35">
      <c r="A35" s="22" t="s">
        <v>64</v>
      </c>
      <c r="D35" s="10"/>
      <c r="G35" s="13">
        <f t="shared" si="4"/>
        <v>34</v>
      </c>
      <c r="H35" s="18">
        <v>45665</v>
      </c>
      <c r="I35" s="15" t="s">
        <v>23</v>
      </c>
      <c r="J35" s="15">
        <v>18000</v>
      </c>
      <c r="K35" s="15">
        <v>100</v>
      </c>
      <c r="L35" s="15">
        <v>16920</v>
      </c>
      <c r="M35" s="16">
        <f t="shared" si="0"/>
        <v>169.2</v>
      </c>
      <c r="N35" s="15">
        <v>0</v>
      </c>
      <c r="O35" s="16">
        <f t="shared" si="1"/>
        <v>18000</v>
      </c>
      <c r="P35" s="15" t="s">
        <v>18</v>
      </c>
      <c r="Q35" s="15">
        <v>0.06</v>
      </c>
      <c r="R35" s="16">
        <f t="shared" si="2"/>
        <v>1080</v>
      </c>
      <c r="S35" s="15">
        <v>0</v>
      </c>
      <c r="T35" s="15">
        <v>0</v>
      </c>
      <c r="U35" s="17">
        <f t="shared" si="3"/>
        <v>1080</v>
      </c>
      <c r="V35" s="12" t="s">
        <v>19</v>
      </c>
      <c r="W35" s="12">
        <v>4</v>
      </c>
    </row>
    <row r="36" spans="1:23" s="12" customFormat="1" ht="30.75" customHeight="1" thickTop="1" thickBot="1" x14ac:dyDescent="0.35">
      <c r="A36" s="22" t="s">
        <v>47</v>
      </c>
      <c r="D36" s="10"/>
      <c r="G36" s="13">
        <f t="shared" si="4"/>
        <v>35</v>
      </c>
      <c r="H36" s="18">
        <v>45668</v>
      </c>
      <c r="I36" s="15" t="s">
        <v>30</v>
      </c>
      <c r="J36" s="15">
        <v>42768</v>
      </c>
      <c r="K36" s="15">
        <v>150</v>
      </c>
      <c r="L36" s="15">
        <v>34184.46</v>
      </c>
      <c r="M36" s="16">
        <f t="shared" si="0"/>
        <v>227.8964</v>
      </c>
      <c r="N36" s="15">
        <v>0</v>
      </c>
      <c r="O36" s="16">
        <f t="shared" si="1"/>
        <v>42768</v>
      </c>
      <c r="P36" s="15" t="s">
        <v>18</v>
      </c>
      <c r="Q36" s="15">
        <v>0.06</v>
      </c>
      <c r="R36" s="16">
        <f t="shared" si="2"/>
        <v>2566.08</v>
      </c>
      <c r="S36" s="15">
        <v>0</v>
      </c>
      <c r="T36" s="15">
        <v>0</v>
      </c>
      <c r="U36" s="17">
        <f t="shared" si="3"/>
        <v>2566.08</v>
      </c>
      <c r="V36" s="12" t="s">
        <v>19</v>
      </c>
      <c r="W36" s="12">
        <v>5</v>
      </c>
    </row>
    <row r="37" spans="1:23" s="12" customFormat="1" ht="30.75" customHeight="1" thickTop="1" thickBot="1" x14ac:dyDescent="0.35">
      <c r="A37" s="22" t="s">
        <v>39</v>
      </c>
      <c r="D37" s="10"/>
      <c r="G37" s="13">
        <f t="shared" si="4"/>
        <v>36</v>
      </c>
      <c r="H37" s="18">
        <v>45668</v>
      </c>
      <c r="I37" s="15" t="s">
        <v>17</v>
      </c>
      <c r="J37" s="15">
        <v>57024</v>
      </c>
      <c r="K37" s="15">
        <v>200</v>
      </c>
      <c r="L37" s="15">
        <v>45579.28</v>
      </c>
      <c r="M37" s="16">
        <f t="shared" si="0"/>
        <v>227.8964</v>
      </c>
      <c r="N37" s="15">
        <v>0</v>
      </c>
      <c r="O37" s="16">
        <f t="shared" si="1"/>
        <v>57024</v>
      </c>
      <c r="P37" s="15" t="s">
        <v>18</v>
      </c>
      <c r="Q37" s="15">
        <v>0.06</v>
      </c>
      <c r="R37" s="16">
        <f t="shared" si="2"/>
        <v>3421.44</v>
      </c>
      <c r="S37" s="15">
        <v>0</v>
      </c>
      <c r="T37" s="15">
        <v>0</v>
      </c>
      <c r="U37" s="17">
        <f t="shared" si="3"/>
        <v>3421.44</v>
      </c>
      <c r="V37" s="12" t="s">
        <v>19</v>
      </c>
      <c r="W37" s="12">
        <v>5</v>
      </c>
    </row>
    <row r="38" spans="1:23" s="12" customFormat="1" ht="30.75" customHeight="1" thickTop="1" thickBot="1" x14ac:dyDescent="0.35">
      <c r="A38" s="22" t="s">
        <v>25</v>
      </c>
      <c r="D38" s="10"/>
      <c r="G38" s="13">
        <f t="shared" si="4"/>
        <v>37</v>
      </c>
      <c r="H38" s="18">
        <v>45668</v>
      </c>
      <c r="I38" s="15" t="s">
        <v>35</v>
      </c>
      <c r="J38" s="15">
        <v>17520</v>
      </c>
      <c r="K38" s="15">
        <v>100</v>
      </c>
      <c r="L38" s="15">
        <v>16468.8</v>
      </c>
      <c r="M38" s="16">
        <f t="shared" si="0"/>
        <v>164.68799999999999</v>
      </c>
      <c r="N38" s="15">
        <v>0</v>
      </c>
      <c r="O38" s="16">
        <f t="shared" si="1"/>
        <v>17520</v>
      </c>
      <c r="P38" s="15" t="s">
        <v>18</v>
      </c>
      <c r="Q38" s="15">
        <v>0.06</v>
      </c>
      <c r="R38" s="16">
        <f t="shared" si="2"/>
        <v>1051.2</v>
      </c>
      <c r="S38" s="15">
        <v>0</v>
      </c>
      <c r="T38" s="15">
        <v>0</v>
      </c>
      <c r="U38" s="17">
        <f t="shared" si="3"/>
        <v>1051.2</v>
      </c>
      <c r="V38" s="12" t="s">
        <v>19</v>
      </c>
      <c r="W38" s="12">
        <v>5</v>
      </c>
    </row>
    <row r="39" spans="1:23" s="12" customFormat="1" ht="30.75" customHeight="1" thickTop="1" thickBot="1" x14ac:dyDescent="0.35">
      <c r="A39" s="22" t="s">
        <v>56</v>
      </c>
      <c r="D39" s="10"/>
      <c r="G39" s="13">
        <f t="shared" si="4"/>
        <v>38</v>
      </c>
      <c r="H39" s="18">
        <v>45668</v>
      </c>
      <c r="I39" s="15" t="s">
        <v>21</v>
      </c>
      <c r="J39" s="15">
        <v>4464</v>
      </c>
      <c r="K39" s="15">
        <v>20</v>
      </c>
      <c r="L39" s="15">
        <v>4196.16</v>
      </c>
      <c r="M39" s="16">
        <f t="shared" si="0"/>
        <v>209.80799999999999</v>
      </c>
      <c r="N39" s="15">
        <v>0</v>
      </c>
      <c r="O39" s="16">
        <f t="shared" si="1"/>
        <v>4464</v>
      </c>
      <c r="P39" s="15" t="s">
        <v>18</v>
      </c>
      <c r="Q39" s="15">
        <v>0.06</v>
      </c>
      <c r="R39" s="16">
        <f t="shared" si="2"/>
        <v>267.83999999999997</v>
      </c>
      <c r="S39" s="15">
        <v>0</v>
      </c>
      <c r="T39" s="15">
        <v>0</v>
      </c>
      <c r="U39" s="17">
        <f t="shared" si="3"/>
        <v>267.83999999999997</v>
      </c>
      <c r="V39" s="12" t="s">
        <v>19</v>
      </c>
      <c r="W39" s="12">
        <v>5</v>
      </c>
    </row>
    <row r="40" spans="1:23" s="12" customFormat="1" ht="30.75" customHeight="1" thickTop="1" thickBot="1" x14ac:dyDescent="0.35">
      <c r="A40" s="22" t="s">
        <v>41</v>
      </c>
      <c r="D40" s="10"/>
      <c r="G40" s="13">
        <f t="shared" si="4"/>
        <v>39</v>
      </c>
      <c r="H40" s="18">
        <v>45668</v>
      </c>
      <c r="I40" s="15" t="s">
        <v>22</v>
      </c>
      <c r="J40" s="15">
        <v>2692.5</v>
      </c>
      <c r="K40" s="15">
        <v>10</v>
      </c>
      <c r="L40" s="15">
        <v>2530.9499999999998</v>
      </c>
      <c r="M40" s="16">
        <f t="shared" si="0"/>
        <v>253.09499999999997</v>
      </c>
      <c r="N40" s="15">
        <v>0</v>
      </c>
      <c r="O40" s="16">
        <f t="shared" si="1"/>
        <v>2692.5</v>
      </c>
      <c r="P40" s="15" t="s">
        <v>18</v>
      </c>
      <c r="Q40" s="15">
        <v>0.06</v>
      </c>
      <c r="R40" s="16">
        <f t="shared" si="2"/>
        <v>161.54999999999998</v>
      </c>
      <c r="S40" s="15">
        <v>0</v>
      </c>
      <c r="T40" s="15">
        <v>0</v>
      </c>
      <c r="U40" s="17">
        <f t="shared" si="3"/>
        <v>161.54999999999998</v>
      </c>
      <c r="V40" s="12" t="s">
        <v>19</v>
      </c>
      <c r="W40" s="12">
        <v>5</v>
      </c>
    </row>
    <row r="41" spans="1:23" s="12" customFormat="1" ht="30.75" customHeight="1" thickTop="1" thickBot="1" x14ac:dyDescent="0.35">
      <c r="A41" s="22" t="s">
        <v>77</v>
      </c>
      <c r="D41" s="10"/>
      <c r="G41" s="13">
        <f t="shared" si="4"/>
        <v>40</v>
      </c>
      <c r="H41" s="18">
        <v>45668</v>
      </c>
      <c r="I41" s="15" t="s">
        <v>23</v>
      </c>
      <c r="J41" s="15">
        <v>18000</v>
      </c>
      <c r="K41" s="15">
        <v>100</v>
      </c>
      <c r="L41" s="15">
        <v>16920</v>
      </c>
      <c r="M41" s="16">
        <f t="shared" si="0"/>
        <v>169.2</v>
      </c>
      <c r="N41" s="15">
        <v>0</v>
      </c>
      <c r="O41" s="16">
        <f t="shared" si="1"/>
        <v>18000</v>
      </c>
      <c r="P41" s="15" t="s">
        <v>18</v>
      </c>
      <c r="Q41" s="15">
        <v>0.06</v>
      </c>
      <c r="R41" s="16">
        <f t="shared" si="2"/>
        <v>1080</v>
      </c>
      <c r="S41" s="15">
        <v>0</v>
      </c>
      <c r="T41" s="15">
        <v>0</v>
      </c>
      <c r="U41" s="17">
        <f t="shared" si="3"/>
        <v>1080</v>
      </c>
      <c r="V41" s="12" t="s">
        <v>19</v>
      </c>
      <c r="W41" s="12">
        <v>5</v>
      </c>
    </row>
    <row r="42" spans="1:23" s="12" customFormat="1" ht="30.75" customHeight="1" thickTop="1" thickBot="1" x14ac:dyDescent="0.35">
      <c r="A42" s="22" t="s">
        <v>78</v>
      </c>
      <c r="D42" s="10"/>
      <c r="G42" s="13">
        <f t="shared" si="4"/>
        <v>41</v>
      </c>
      <c r="H42" s="18">
        <v>45668</v>
      </c>
      <c r="I42" s="15" t="s">
        <v>24</v>
      </c>
      <c r="J42" s="15">
        <v>6100.8</v>
      </c>
      <c r="K42" s="15">
        <v>20</v>
      </c>
      <c r="L42" s="15">
        <v>5076</v>
      </c>
      <c r="M42" s="16">
        <f t="shared" si="0"/>
        <v>253.8</v>
      </c>
      <c r="N42" s="15">
        <v>0</v>
      </c>
      <c r="O42" s="16">
        <f t="shared" si="1"/>
        <v>6100.8</v>
      </c>
      <c r="P42" s="15" t="s">
        <v>18</v>
      </c>
      <c r="Q42" s="15">
        <v>0.06</v>
      </c>
      <c r="R42" s="16">
        <f t="shared" si="2"/>
        <v>366.048</v>
      </c>
      <c r="S42" s="15">
        <v>0</v>
      </c>
      <c r="T42" s="15">
        <v>0</v>
      </c>
      <c r="U42" s="17">
        <f t="shared" si="3"/>
        <v>366.048</v>
      </c>
      <c r="V42" s="12" t="s">
        <v>19</v>
      </c>
      <c r="W42" s="12">
        <v>5</v>
      </c>
    </row>
    <row r="43" spans="1:23" s="12" customFormat="1" ht="30.75" customHeight="1" thickTop="1" thickBot="1" x14ac:dyDescent="0.35">
      <c r="A43" s="21" t="s">
        <v>48</v>
      </c>
      <c r="D43" s="10"/>
      <c r="G43" s="13">
        <f t="shared" si="4"/>
        <v>42</v>
      </c>
      <c r="H43" s="18">
        <v>45668</v>
      </c>
      <c r="I43" s="15" t="s">
        <v>31</v>
      </c>
      <c r="J43" s="15">
        <v>5400</v>
      </c>
      <c r="K43" s="15">
        <v>30</v>
      </c>
      <c r="L43" s="15">
        <v>5076</v>
      </c>
      <c r="M43" s="16">
        <f t="shared" si="0"/>
        <v>169.2</v>
      </c>
      <c r="N43" s="15">
        <v>0</v>
      </c>
      <c r="O43" s="16">
        <f t="shared" si="1"/>
        <v>5400</v>
      </c>
      <c r="P43" s="15" t="s">
        <v>18</v>
      </c>
      <c r="Q43" s="15">
        <v>0.06</v>
      </c>
      <c r="R43" s="16">
        <f t="shared" si="2"/>
        <v>324</v>
      </c>
      <c r="S43" s="15">
        <v>0</v>
      </c>
      <c r="T43" s="15">
        <v>0</v>
      </c>
      <c r="U43" s="17">
        <f t="shared" si="3"/>
        <v>324</v>
      </c>
      <c r="V43" s="12" t="s">
        <v>19</v>
      </c>
      <c r="W43" s="12">
        <v>5</v>
      </c>
    </row>
    <row r="44" spans="1:23" s="12" customFormat="1" ht="30.75" customHeight="1" thickTop="1" thickBot="1" x14ac:dyDescent="0.35">
      <c r="A44"/>
      <c r="D44" s="10"/>
      <c r="G44" s="13">
        <f t="shared" si="4"/>
        <v>43</v>
      </c>
      <c r="H44" s="18">
        <v>45668</v>
      </c>
      <c r="I44" s="15" t="s">
        <v>36</v>
      </c>
      <c r="J44" s="15">
        <v>610.08000000000004</v>
      </c>
      <c r="K44" s="15">
        <v>2</v>
      </c>
      <c r="L44" s="15">
        <v>573.48</v>
      </c>
      <c r="M44" s="16">
        <f t="shared" si="0"/>
        <v>286.74</v>
      </c>
      <c r="N44" s="15">
        <v>0</v>
      </c>
      <c r="O44" s="16">
        <f t="shared" si="1"/>
        <v>610.08000000000004</v>
      </c>
      <c r="P44" s="15" t="s">
        <v>18</v>
      </c>
      <c r="Q44" s="15">
        <v>0.06</v>
      </c>
      <c r="R44" s="16">
        <f t="shared" si="2"/>
        <v>36.604800000000004</v>
      </c>
      <c r="S44" s="15">
        <v>0</v>
      </c>
      <c r="T44" s="15">
        <v>0</v>
      </c>
      <c r="U44" s="17">
        <f t="shared" si="3"/>
        <v>36.604800000000004</v>
      </c>
      <c r="V44" s="12" t="s">
        <v>19</v>
      </c>
      <c r="W44" s="12">
        <v>5</v>
      </c>
    </row>
    <row r="45" spans="1:23" s="12" customFormat="1" ht="30.75" customHeight="1" thickTop="1" thickBot="1" x14ac:dyDescent="0.35">
      <c r="A45"/>
      <c r="D45" s="10"/>
      <c r="G45" s="13">
        <f t="shared" si="4"/>
        <v>44</v>
      </c>
      <c r="H45" s="18">
        <v>45668</v>
      </c>
      <c r="I45" s="15" t="s">
        <v>37</v>
      </c>
      <c r="J45" s="15">
        <v>50625</v>
      </c>
      <c r="K45" s="15">
        <v>100</v>
      </c>
      <c r="L45" s="15">
        <v>49612.5</v>
      </c>
      <c r="M45" s="16">
        <f t="shared" si="0"/>
        <v>496.125</v>
      </c>
      <c r="N45" s="15">
        <v>0</v>
      </c>
      <c r="O45" s="16">
        <f t="shared" si="1"/>
        <v>50625</v>
      </c>
      <c r="P45" s="15" t="s">
        <v>29</v>
      </c>
      <c r="Q45" s="15">
        <v>0.02</v>
      </c>
      <c r="R45" s="16">
        <f t="shared" si="2"/>
        <v>1012.5</v>
      </c>
      <c r="S45" s="15">
        <v>0</v>
      </c>
      <c r="T45" s="15">
        <v>0</v>
      </c>
      <c r="U45" s="17">
        <f t="shared" si="3"/>
        <v>1012.5</v>
      </c>
      <c r="V45" s="12" t="s">
        <v>19</v>
      </c>
      <c r="W45" s="12">
        <v>5</v>
      </c>
    </row>
    <row r="46" spans="1:23" s="12" customFormat="1" ht="30.75" customHeight="1" thickTop="1" thickBot="1" x14ac:dyDescent="0.35">
      <c r="A46"/>
      <c r="D46" s="10"/>
      <c r="G46" s="13">
        <f t="shared" si="4"/>
        <v>45</v>
      </c>
      <c r="H46" s="18">
        <v>45670</v>
      </c>
      <c r="I46" s="15" t="s">
        <v>30</v>
      </c>
      <c r="J46" s="15">
        <v>28512</v>
      </c>
      <c r="K46" s="15">
        <v>100</v>
      </c>
      <c r="L46" s="15">
        <v>22789.64</v>
      </c>
      <c r="M46" s="16">
        <f t="shared" si="0"/>
        <v>227.8964</v>
      </c>
      <c r="N46" s="15">
        <v>0</v>
      </c>
      <c r="O46" s="16">
        <f t="shared" si="1"/>
        <v>28512</v>
      </c>
      <c r="P46" s="15" t="s">
        <v>18</v>
      </c>
      <c r="Q46" s="15">
        <v>0.06</v>
      </c>
      <c r="R46" s="16">
        <f t="shared" si="2"/>
        <v>1710.72</v>
      </c>
      <c r="S46" s="15">
        <v>0</v>
      </c>
      <c r="T46" s="15">
        <v>0</v>
      </c>
      <c r="U46" s="17">
        <f t="shared" si="3"/>
        <v>1710.72</v>
      </c>
      <c r="V46" s="12" t="s">
        <v>19</v>
      </c>
      <c r="W46" s="12">
        <v>6</v>
      </c>
    </row>
    <row r="47" spans="1:23" s="12" customFormat="1" ht="30.75" customHeight="1" thickTop="1" thickBot="1" x14ac:dyDescent="0.35">
      <c r="A47"/>
      <c r="D47" s="10"/>
      <c r="G47" s="13">
        <f t="shared" si="4"/>
        <v>46</v>
      </c>
      <c r="H47" s="18">
        <v>45670</v>
      </c>
      <c r="I47" s="15" t="s">
        <v>17</v>
      </c>
      <c r="J47" s="15">
        <v>28512</v>
      </c>
      <c r="K47" s="15">
        <v>100</v>
      </c>
      <c r="L47" s="15">
        <v>22789.64</v>
      </c>
      <c r="M47" s="16">
        <f t="shared" si="0"/>
        <v>227.8964</v>
      </c>
      <c r="N47" s="15">
        <v>0</v>
      </c>
      <c r="O47" s="16">
        <f t="shared" si="1"/>
        <v>28512</v>
      </c>
      <c r="P47" s="15" t="s">
        <v>18</v>
      </c>
      <c r="Q47" s="15">
        <v>0.06</v>
      </c>
      <c r="R47" s="16">
        <f t="shared" si="2"/>
        <v>1710.72</v>
      </c>
      <c r="S47" s="15">
        <v>0</v>
      </c>
      <c r="T47" s="15">
        <v>0</v>
      </c>
      <c r="U47" s="17">
        <f t="shared" si="3"/>
        <v>1710.72</v>
      </c>
      <c r="V47" s="12" t="s">
        <v>19</v>
      </c>
      <c r="W47" s="12">
        <v>6</v>
      </c>
    </row>
    <row r="48" spans="1:23" s="12" customFormat="1" ht="30.75" customHeight="1" thickTop="1" thickBot="1" x14ac:dyDescent="0.35">
      <c r="A48"/>
      <c r="D48" s="10"/>
      <c r="G48" s="13">
        <f t="shared" si="4"/>
        <v>47</v>
      </c>
      <c r="H48" s="18">
        <v>45670</v>
      </c>
      <c r="I48" s="15" t="s">
        <v>35</v>
      </c>
      <c r="J48" s="15">
        <v>8760</v>
      </c>
      <c r="K48" s="15">
        <v>50</v>
      </c>
      <c r="L48" s="15">
        <v>8234.4</v>
      </c>
      <c r="M48" s="16">
        <f t="shared" si="0"/>
        <v>164.68799999999999</v>
      </c>
      <c r="N48" s="15">
        <v>0</v>
      </c>
      <c r="O48" s="16">
        <f t="shared" si="1"/>
        <v>8760</v>
      </c>
      <c r="P48" s="15" t="s">
        <v>18</v>
      </c>
      <c r="Q48" s="15">
        <v>0.06</v>
      </c>
      <c r="R48" s="16">
        <f t="shared" si="2"/>
        <v>525.6</v>
      </c>
      <c r="S48" s="15">
        <v>0</v>
      </c>
      <c r="T48" s="15">
        <v>0</v>
      </c>
      <c r="U48" s="17">
        <f t="shared" si="3"/>
        <v>525.6</v>
      </c>
      <c r="V48" s="12" t="s">
        <v>19</v>
      </c>
      <c r="W48" s="12">
        <v>6</v>
      </c>
    </row>
    <row r="49" spans="1:23" s="12" customFormat="1" ht="30.75" customHeight="1" thickTop="1" thickBot="1" x14ac:dyDescent="0.35">
      <c r="A49"/>
      <c r="D49" s="10"/>
      <c r="G49" s="13">
        <f t="shared" si="4"/>
        <v>48</v>
      </c>
      <c r="H49" s="18">
        <v>45670</v>
      </c>
      <c r="I49" s="15" t="s">
        <v>20</v>
      </c>
      <c r="J49" s="15">
        <v>584</v>
      </c>
      <c r="K49" s="15">
        <v>2</v>
      </c>
      <c r="L49" s="15">
        <v>548.96</v>
      </c>
      <c r="M49" s="16">
        <f t="shared" si="0"/>
        <v>274.48</v>
      </c>
      <c r="N49" s="15">
        <v>0</v>
      </c>
      <c r="O49" s="16">
        <f t="shared" si="1"/>
        <v>584</v>
      </c>
      <c r="P49" s="15" t="s">
        <v>18</v>
      </c>
      <c r="Q49" s="15">
        <v>0.06</v>
      </c>
      <c r="R49" s="16">
        <f t="shared" si="2"/>
        <v>35.04</v>
      </c>
      <c r="S49" s="15">
        <v>0</v>
      </c>
      <c r="T49" s="15">
        <v>0</v>
      </c>
      <c r="U49" s="17">
        <f t="shared" si="3"/>
        <v>35.04</v>
      </c>
      <c r="V49" s="12" t="s">
        <v>19</v>
      </c>
      <c r="W49" s="12">
        <v>6</v>
      </c>
    </row>
    <row r="50" spans="1:23" s="12" customFormat="1" ht="30.75" customHeight="1" thickTop="1" thickBot="1" x14ac:dyDescent="0.35">
      <c r="A50"/>
      <c r="D50" s="10"/>
      <c r="G50" s="13">
        <f t="shared" si="4"/>
        <v>49</v>
      </c>
      <c r="H50" s="18">
        <v>45670</v>
      </c>
      <c r="I50" s="15" t="s">
        <v>23</v>
      </c>
      <c r="J50" s="15">
        <v>18000</v>
      </c>
      <c r="K50" s="15">
        <v>100</v>
      </c>
      <c r="L50" s="15">
        <v>16920</v>
      </c>
      <c r="M50" s="16">
        <f t="shared" si="0"/>
        <v>169.2</v>
      </c>
      <c r="N50" s="15">
        <v>0</v>
      </c>
      <c r="O50" s="16">
        <f t="shared" si="1"/>
        <v>18000</v>
      </c>
      <c r="P50" s="15" t="s">
        <v>18</v>
      </c>
      <c r="Q50" s="15">
        <v>0.06</v>
      </c>
      <c r="R50" s="16">
        <f t="shared" si="2"/>
        <v>1080</v>
      </c>
      <c r="S50" s="15">
        <v>0</v>
      </c>
      <c r="T50" s="15">
        <v>0</v>
      </c>
      <c r="U50" s="17">
        <f t="shared" si="3"/>
        <v>1080</v>
      </c>
      <c r="V50" s="12" t="s">
        <v>19</v>
      </c>
      <c r="W50" s="12">
        <v>6</v>
      </c>
    </row>
    <row r="51" spans="1:23" s="12" customFormat="1" ht="30.75" customHeight="1" thickTop="1" thickBot="1" x14ac:dyDescent="0.35">
      <c r="A51"/>
      <c r="D51" s="10"/>
      <c r="G51" s="13">
        <f t="shared" si="4"/>
        <v>50</v>
      </c>
      <c r="H51" s="18">
        <v>45670</v>
      </c>
      <c r="I51" s="15" t="s">
        <v>31</v>
      </c>
      <c r="J51" s="15">
        <v>1800</v>
      </c>
      <c r="K51" s="15">
        <v>10</v>
      </c>
      <c r="L51" s="15">
        <v>1692</v>
      </c>
      <c r="M51" s="16">
        <f t="shared" si="0"/>
        <v>169.2</v>
      </c>
      <c r="N51" s="15">
        <v>0</v>
      </c>
      <c r="O51" s="16">
        <f t="shared" si="1"/>
        <v>1800</v>
      </c>
      <c r="P51" s="15" t="s">
        <v>18</v>
      </c>
      <c r="Q51" s="15">
        <v>0.06</v>
      </c>
      <c r="R51" s="16">
        <f t="shared" si="2"/>
        <v>108</v>
      </c>
      <c r="S51" s="15">
        <v>0</v>
      </c>
      <c r="T51" s="15">
        <v>0</v>
      </c>
      <c r="U51" s="17">
        <f t="shared" si="3"/>
        <v>108</v>
      </c>
      <c r="V51" s="12" t="s">
        <v>19</v>
      </c>
      <c r="W51" s="12">
        <v>6</v>
      </c>
    </row>
    <row r="52" spans="1:23" s="12" customFormat="1" ht="30.75" customHeight="1" thickTop="1" thickBot="1" x14ac:dyDescent="0.35">
      <c r="A52"/>
      <c r="D52" s="10"/>
      <c r="G52" s="13">
        <f t="shared" si="4"/>
        <v>51</v>
      </c>
      <c r="H52" s="18">
        <v>45672</v>
      </c>
      <c r="I52" s="15" t="s">
        <v>28</v>
      </c>
      <c r="J52" s="15">
        <v>75937.5</v>
      </c>
      <c r="K52" s="15">
        <v>100</v>
      </c>
      <c r="L52" s="15">
        <v>74418.75</v>
      </c>
      <c r="M52" s="16">
        <f t="shared" si="0"/>
        <v>744.1875</v>
      </c>
      <c r="N52" s="15">
        <v>0</v>
      </c>
      <c r="O52" s="16">
        <f t="shared" si="1"/>
        <v>75937.5</v>
      </c>
      <c r="P52" s="15" t="s">
        <v>29</v>
      </c>
      <c r="Q52" s="15">
        <v>0.02</v>
      </c>
      <c r="R52" s="16">
        <f t="shared" si="2"/>
        <v>1518.75</v>
      </c>
      <c r="S52" s="15">
        <v>0</v>
      </c>
      <c r="T52" s="15">
        <v>0</v>
      </c>
      <c r="U52" s="17">
        <f t="shared" si="3"/>
        <v>1518.75</v>
      </c>
      <c r="V52" s="12" t="s">
        <v>19</v>
      </c>
      <c r="W52" s="12">
        <v>7</v>
      </c>
    </row>
    <row r="53" spans="1:23" s="12" customFormat="1" ht="30.75" customHeight="1" thickTop="1" thickBot="1" x14ac:dyDescent="0.35">
      <c r="A53"/>
      <c r="D53" s="10"/>
      <c r="G53" s="13">
        <f t="shared" si="4"/>
        <v>52</v>
      </c>
      <c r="H53" s="18">
        <v>45672</v>
      </c>
      <c r="I53" s="15" t="s">
        <v>30</v>
      </c>
      <c r="J53" s="15">
        <v>42768</v>
      </c>
      <c r="K53" s="15">
        <v>150</v>
      </c>
      <c r="L53" s="15">
        <v>34184.46</v>
      </c>
      <c r="M53" s="16">
        <f t="shared" si="0"/>
        <v>227.8964</v>
      </c>
      <c r="N53" s="15">
        <v>0</v>
      </c>
      <c r="O53" s="16">
        <f t="shared" si="1"/>
        <v>42768</v>
      </c>
      <c r="P53" s="15" t="s">
        <v>18</v>
      </c>
      <c r="Q53" s="15">
        <v>0.06</v>
      </c>
      <c r="R53" s="16">
        <f t="shared" si="2"/>
        <v>2566.08</v>
      </c>
      <c r="S53" s="15">
        <v>0</v>
      </c>
      <c r="T53" s="15">
        <v>0</v>
      </c>
      <c r="U53" s="17">
        <f t="shared" si="3"/>
        <v>2566.08</v>
      </c>
      <c r="V53" s="12" t="s">
        <v>19</v>
      </c>
      <c r="W53" s="12">
        <v>7</v>
      </c>
    </row>
    <row r="54" spans="1:23" s="12" customFormat="1" ht="30.75" customHeight="1" thickTop="1" thickBot="1" x14ac:dyDescent="0.35">
      <c r="A54"/>
      <c r="D54" s="10"/>
      <c r="G54" s="13">
        <f t="shared" si="4"/>
        <v>53</v>
      </c>
      <c r="H54" s="18">
        <v>45672</v>
      </c>
      <c r="I54" s="15" t="s">
        <v>17</v>
      </c>
      <c r="J54" s="15">
        <v>42768</v>
      </c>
      <c r="K54" s="15">
        <v>150</v>
      </c>
      <c r="L54" s="15">
        <v>34184.46</v>
      </c>
      <c r="M54" s="16">
        <f t="shared" si="0"/>
        <v>227.8964</v>
      </c>
      <c r="N54" s="15">
        <v>0</v>
      </c>
      <c r="O54" s="16">
        <f t="shared" si="1"/>
        <v>42768</v>
      </c>
      <c r="P54" s="15" t="s">
        <v>18</v>
      </c>
      <c r="Q54" s="15">
        <v>0.06</v>
      </c>
      <c r="R54" s="16">
        <f t="shared" si="2"/>
        <v>2566.08</v>
      </c>
      <c r="S54" s="15">
        <v>0</v>
      </c>
      <c r="T54" s="15">
        <v>0</v>
      </c>
      <c r="U54" s="17">
        <f t="shared" si="3"/>
        <v>2566.08</v>
      </c>
      <c r="V54" s="12" t="s">
        <v>19</v>
      </c>
      <c r="W54" s="12">
        <v>7</v>
      </c>
    </row>
    <row r="55" spans="1:23" s="12" customFormat="1" ht="30.75" customHeight="1" thickTop="1" thickBot="1" x14ac:dyDescent="0.35">
      <c r="A55"/>
      <c r="D55" s="10"/>
      <c r="G55" s="13">
        <f t="shared" si="4"/>
        <v>54</v>
      </c>
      <c r="H55" s="18">
        <v>45672</v>
      </c>
      <c r="I55" s="15" t="s">
        <v>21</v>
      </c>
      <c r="J55" s="15">
        <v>1116</v>
      </c>
      <c r="K55" s="15">
        <v>5</v>
      </c>
      <c r="L55" s="15">
        <v>1049.04</v>
      </c>
      <c r="M55" s="16">
        <f t="shared" si="0"/>
        <v>209.80799999999999</v>
      </c>
      <c r="N55" s="15">
        <v>0</v>
      </c>
      <c r="O55" s="16">
        <f t="shared" si="1"/>
        <v>1116</v>
      </c>
      <c r="P55" s="15" t="s">
        <v>18</v>
      </c>
      <c r="Q55" s="15">
        <v>0.06</v>
      </c>
      <c r="R55" s="16">
        <f t="shared" si="2"/>
        <v>66.959999999999994</v>
      </c>
      <c r="S55" s="15">
        <v>0</v>
      </c>
      <c r="T55" s="15">
        <v>0</v>
      </c>
      <c r="U55" s="17">
        <f t="shared" si="3"/>
        <v>66.959999999999994</v>
      </c>
      <c r="V55" s="12" t="s">
        <v>19</v>
      </c>
      <c r="W55" s="12">
        <v>7</v>
      </c>
    </row>
    <row r="56" spans="1:23" s="12" customFormat="1" ht="30.75" customHeight="1" thickTop="1" thickBot="1" x14ac:dyDescent="0.35">
      <c r="A56"/>
      <c r="D56" s="10"/>
      <c r="G56" s="13">
        <f t="shared" si="4"/>
        <v>55</v>
      </c>
      <c r="H56" s="18">
        <v>45672</v>
      </c>
      <c r="I56" s="15" t="s">
        <v>22</v>
      </c>
      <c r="J56" s="15">
        <v>1346.25</v>
      </c>
      <c r="K56" s="15">
        <v>5</v>
      </c>
      <c r="L56" s="15">
        <v>1285.48</v>
      </c>
      <c r="M56" s="16">
        <f t="shared" si="0"/>
        <v>257.096</v>
      </c>
      <c r="N56" s="15">
        <v>0</v>
      </c>
      <c r="O56" s="16">
        <f t="shared" si="1"/>
        <v>1346.25</v>
      </c>
      <c r="P56" s="15" t="s">
        <v>18</v>
      </c>
      <c r="Q56" s="15">
        <v>0.06</v>
      </c>
      <c r="R56" s="16">
        <f t="shared" si="2"/>
        <v>80.774999999999991</v>
      </c>
      <c r="S56" s="15">
        <v>0</v>
      </c>
      <c r="T56" s="15">
        <v>0</v>
      </c>
      <c r="U56" s="17">
        <f t="shared" si="3"/>
        <v>80.774999999999991</v>
      </c>
      <c r="V56" s="12" t="s">
        <v>19</v>
      </c>
      <c r="W56" s="12">
        <v>7</v>
      </c>
    </row>
    <row r="57" spans="1:23" s="12" customFormat="1" ht="30.75" customHeight="1" thickTop="1" thickBot="1" x14ac:dyDescent="0.35">
      <c r="A57"/>
      <c r="D57" s="10"/>
      <c r="G57" s="13">
        <f t="shared" si="4"/>
        <v>56</v>
      </c>
      <c r="H57" s="18">
        <v>45672</v>
      </c>
      <c r="I57" s="15" t="s">
        <v>23</v>
      </c>
      <c r="J57" s="15">
        <v>36000</v>
      </c>
      <c r="K57" s="15">
        <v>200</v>
      </c>
      <c r="L57" s="15">
        <v>33840</v>
      </c>
      <c r="M57" s="16">
        <f t="shared" si="0"/>
        <v>169.2</v>
      </c>
      <c r="N57" s="15">
        <v>0</v>
      </c>
      <c r="O57" s="16">
        <f t="shared" si="1"/>
        <v>36000</v>
      </c>
      <c r="P57" s="15" t="s">
        <v>18</v>
      </c>
      <c r="Q57" s="15">
        <v>0.06</v>
      </c>
      <c r="R57" s="16">
        <f t="shared" si="2"/>
        <v>2160</v>
      </c>
      <c r="S57" s="15">
        <v>0</v>
      </c>
      <c r="T57" s="15">
        <v>0</v>
      </c>
      <c r="U57" s="17">
        <f t="shared" si="3"/>
        <v>2160</v>
      </c>
      <c r="V57" s="12" t="s">
        <v>19</v>
      </c>
      <c r="W57" s="12">
        <v>7</v>
      </c>
    </row>
    <row r="58" spans="1:23" s="12" customFormat="1" ht="30.75" customHeight="1" thickTop="1" thickBot="1" x14ac:dyDescent="0.35">
      <c r="A58"/>
      <c r="D58" s="10"/>
      <c r="G58" s="13">
        <f t="shared" si="4"/>
        <v>57</v>
      </c>
      <c r="H58" s="18">
        <v>45672</v>
      </c>
      <c r="I58" s="15" t="s">
        <v>24</v>
      </c>
      <c r="J58" s="15">
        <v>6100.8</v>
      </c>
      <c r="K58" s="15">
        <v>20</v>
      </c>
      <c r="L58" s="15">
        <v>5734.75</v>
      </c>
      <c r="M58" s="16">
        <f t="shared" si="0"/>
        <v>286.73750000000001</v>
      </c>
      <c r="N58" s="15">
        <v>0</v>
      </c>
      <c r="O58" s="16">
        <f t="shared" si="1"/>
        <v>6100.8</v>
      </c>
      <c r="P58" s="15" t="s">
        <v>18</v>
      </c>
      <c r="Q58" s="15">
        <v>0.06</v>
      </c>
      <c r="R58" s="16">
        <f t="shared" si="2"/>
        <v>366.048</v>
      </c>
      <c r="S58" s="15">
        <v>0</v>
      </c>
      <c r="T58" s="15">
        <v>0</v>
      </c>
      <c r="U58" s="17">
        <f t="shared" si="3"/>
        <v>366.048</v>
      </c>
      <c r="V58" s="12" t="s">
        <v>19</v>
      </c>
      <c r="W58" s="12">
        <v>7</v>
      </c>
    </row>
    <row r="59" spans="1:23" s="12" customFormat="1" ht="30.75" customHeight="1" thickTop="1" thickBot="1" x14ac:dyDescent="0.35">
      <c r="A59"/>
      <c r="D59" s="10"/>
      <c r="G59" s="13">
        <f t="shared" si="4"/>
        <v>58</v>
      </c>
      <c r="H59" s="18">
        <v>45672</v>
      </c>
      <c r="I59" s="15" t="s">
        <v>31</v>
      </c>
      <c r="J59" s="15">
        <v>3600</v>
      </c>
      <c r="K59" s="15">
        <v>20</v>
      </c>
      <c r="L59" s="15">
        <v>3384</v>
      </c>
      <c r="M59" s="16">
        <f t="shared" si="0"/>
        <v>169.2</v>
      </c>
      <c r="N59" s="15">
        <v>0</v>
      </c>
      <c r="O59" s="16">
        <f t="shared" si="1"/>
        <v>3600</v>
      </c>
      <c r="P59" s="15" t="s">
        <v>18</v>
      </c>
      <c r="Q59" s="15">
        <v>0.06</v>
      </c>
      <c r="R59" s="16">
        <f t="shared" si="2"/>
        <v>216</v>
      </c>
      <c r="S59" s="15">
        <v>0</v>
      </c>
      <c r="T59" s="15">
        <v>0</v>
      </c>
      <c r="U59" s="17">
        <f t="shared" si="3"/>
        <v>216</v>
      </c>
      <c r="V59" s="12" t="s">
        <v>19</v>
      </c>
      <c r="W59" s="12">
        <v>7</v>
      </c>
    </row>
    <row r="60" spans="1:23" s="12" customFormat="1" ht="30.75" customHeight="1" thickTop="1" thickBot="1" x14ac:dyDescent="0.35">
      <c r="A60"/>
      <c r="D60" s="10"/>
      <c r="G60" s="13">
        <f t="shared" si="4"/>
        <v>59</v>
      </c>
      <c r="H60" s="18">
        <v>45672</v>
      </c>
      <c r="I60" s="15" t="s">
        <v>36</v>
      </c>
      <c r="J60" s="15">
        <v>610.08000000000004</v>
      </c>
      <c r="K60" s="15">
        <v>2</v>
      </c>
      <c r="L60" s="15">
        <v>573.48</v>
      </c>
      <c r="M60" s="16">
        <f t="shared" si="0"/>
        <v>286.74</v>
      </c>
      <c r="N60" s="15">
        <v>0</v>
      </c>
      <c r="O60" s="16">
        <f t="shared" si="1"/>
        <v>610.08000000000004</v>
      </c>
      <c r="P60" s="15" t="s">
        <v>18</v>
      </c>
      <c r="Q60" s="15">
        <v>0.06</v>
      </c>
      <c r="R60" s="16">
        <f t="shared" si="2"/>
        <v>36.604800000000004</v>
      </c>
      <c r="S60" s="15">
        <v>0</v>
      </c>
      <c r="T60" s="15">
        <v>0</v>
      </c>
      <c r="U60" s="17">
        <f t="shared" si="3"/>
        <v>36.604800000000004</v>
      </c>
      <c r="V60" s="12" t="s">
        <v>19</v>
      </c>
      <c r="W60" s="12">
        <v>7</v>
      </c>
    </row>
    <row r="61" spans="1:23" s="12" customFormat="1" ht="30.75" customHeight="1" thickTop="1" thickBot="1" x14ac:dyDescent="0.35">
      <c r="A61"/>
      <c r="D61" s="10"/>
      <c r="G61" s="13">
        <f t="shared" si="4"/>
        <v>60</v>
      </c>
      <c r="H61" s="18">
        <v>45675</v>
      </c>
      <c r="I61" s="15" t="s">
        <v>30</v>
      </c>
      <c r="J61" s="15">
        <v>42768</v>
      </c>
      <c r="K61" s="15">
        <v>150</v>
      </c>
      <c r="L61" s="15">
        <v>34184.46</v>
      </c>
      <c r="M61" s="16">
        <f t="shared" si="0"/>
        <v>227.8964</v>
      </c>
      <c r="N61" s="15">
        <v>0</v>
      </c>
      <c r="O61" s="16">
        <f t="shared" si="1"/>
        <v>42768</v>
      </c>
      <c r="P61" s="15" t="s">
        <v>18</v>
      </c>
      <c r="Q61" s="15">
        <v>0.06</v>
      </c>
      <c r="R61" s="16">
        <f t="shared" si="2"/>
        <v>2566.08</v>
      </c>
      <c r="S61" s="15">
        <v>0</v>
      </c>
      <c r="T61" s="15">
        <v>0</v>
      </c>
      <c r="U61" s="17">
        <f t="shared" si="3"/>
        <v>2566.08</v>
      </c>
      <c r="V61" s="12" t="s">
        <v>19</v>
      </c>
      <c r="W61" s="12">
        <v>8</v>
      </c>
    </row>
    <row r="62" spans="1:23" s="12" customFormat="1" ht="30.75" customHeight="1" thickTop="1" thickBot="1" x14ac:dyDescent="0.35">
      <c r="A62"/>
      <c r="D62" s="10"/>
      <c r="G62" s="13">
        <f t="shared" si="4"/>
        <v>61</v>
      </c>
      <c r="H62" s="18">
        <v>45675</v>
      </c>
      <c r="I62" s="15" t="s">
        <v>17</v>
      </c>
      <c r="J62" s="15">
        <v>57024</v>
      </c>
      <c r="K62" s="15">
        <v>200</v>
      </c>
      <c r="L62" s="15">
        <v>45579.28</v>
      </c>
      <c r="M62" s="16">
        <f t="shared" si="0"/>
        <v>227.8964</v>
      </c>
      <c r="N62" s="15">
        <v>0</v>
      </c>
      <c r="O62" s="16">
        <f t="shared" si="1"/>
        <v>57024</v>
      </c>
      <c r="P62" s="15" t="s">
        <v>18</v>
      </c>
      <c r="Q62" s="15">
        <v>0.06</v>
      </c>
      <c r="R62" s="16">
        <f t="shared" si="2"/>
        <v>3421.44</v>
      </c>
      <c r="S62" s="15">
        <v>0</v>
      </c>
      <c r="T62" s="15">
        <v>0</v>
      </c>
      <c r="U62" s="17">
        <f t="shared" si="3"/>
        <v>3421.44</v>
      </c>
      <c r="V62" s="12" t="s">
        <v>19</v>
      </c>
      <c r="W62" s="12">
        <v>8</v>
      </c>
    </row>
    <row r="63" spans="1:23" s="12" customFormat="1" ht="30.75" customHeight="1" thickTop="1" thickBot="1" x14ac:dyDescent="0.35">
      <c r="A63"/>
      <c r="D63" s="10"/>
      <c r="G63" s="13">
        <f t="shared" si="4"/>
        <v>62</v>
      </c>
      <c r="H63" s="18">
        <v>45675</v>
      </c>
      <c r="I63" s="15" t="s">
        <v>20</v>
      </c>
      <c r="J63" s="15">
        <v>584</v>
      </c>
      <c r="K63" s="15">
        <v>2</v>
      </c>
      <c r="L63" s="15">
        <v>548.96</v>
      </c>
      <c r="M63" s="16">
        <f t="shared" si="0"/>
        <v>274.48</v>
      </c>
      <c r="N63" s="15">
        <v>0</v>
      </c>
      <c r="O63" s="16">
        <f t="shared" si="1"/>
        <v>584</v>
      </c>
      <c r="P63" s="15" t="s">
        <v>18</v>
      </c>
      <c r="Q63" s="15">
        <v>0.06</v>
      </c>
      <c r="R63" s="16">
        <f t="shared" si="2"/>
        <v>35.04</v>
      </c>
      <c r="S63" s="15">
        <v>0</v>
      </c>
      <c r="T63" s="15">
        <v>0</v>
      </c>
      <c r="U63" s="17">
        <f t="shared" si="3"/>
        <v>35.04</v>
      </c>
      <c r="V63" s="12" t="s">
        <v>19</v>
      </c>
      <c r="W63" s="12">
        <v>8</v>
      </c>
    </row>
    <row r="64" spans="1:23" s="12" customFormat="1" ht="30.75" customHeight="1" thickTop="1" thickBot="1" x14ac:dyDescent="0.35">
      <c r="A64"/>
      <c r="D64" s="10"/>
      <c r="G64" s="13">
        <f t="shared" si="4"/>
        <v>63</v>
      </c>
      <c r="H64" s="18">
        <v>45675</v>
      </c>
      <c r="I64" s="15" t="s">
        <v>21</v>
      </c>
      <c r="J64" s="15">
        <v>1116</v>
      </c>
      <c r="K64" s="15">
        <v>5</v>
      </c>
      <c r="L64" s="15">
        <v>1049.04</v>
      </c>
      <c r="M64" s="16">
        <f t="shared" si="0"/>
        <v>209.80799999999999</v>
      </c>
      <c r="N64" s="15">
        <v>0</v>
      </c>
      <c r="O64" s="16">
        <f t="shared" si="1"/>
        <v>1116</v>
      </c>
      <c r="P64" s="15" t="s">
        <v>18</v>
      </c>
      <c r="Q64" s="15">
        <v>0.06</v>
      </c>
      <c r="R64" s="16">
        <f t="shared" si="2"/>
        <v>66.959999999999994</v>
      </c>
      <c r="S64" s="15">
        <v>0</v>
      </c>
      <c r="T64" s="15">
        <v>0</v>
      </c>
      <c r="U64" s="17">
        <f t="shared" si="3"/>
        <v>66.959999999999994</v>
      </c>
      <c r="V64" s="12" t="s">
        <v>19</v>
      </c>
      <c r="W64" s="12">
        <v>8</v>
      </c>
    </row>
    <row r="65" spans="1:23" s="12" customFormat="1" ht="30.75" customHeight="1" thickTop="1" thickBot="1" x14ac:dyDescent="0.35">
      <c r="A65"/>
      <c r="D65" s="10"/>
      <c r="G65" s="13">
        <f t="shared" si="4"/>
        <v>64</v>
      </c>
      <c r="H65" s="18">
        <v>45675</v>
      </c>
      <c r="I65" s="15" t="s">
        <v>22</v>
      </c>
      <c r="J65" s="15">
        <v>2692.5</v>
      </c>
      <c r="K65" s="15">
        <v>10</v>
      </c>
      <c r="L65" s="15">
        <v>2530.9499999999998</v>
      </c>
      <c r="M65" s="16">
        <f t="shared" si="0"/>
        <v>253.09499999999997</v>
      </c>
      <c r="N65" s="15">
        <v>0</v>
      </c>
      <c r="O65" s="16">
        <f t="shared" si="1"/>
        <v>2692.5</v>
      </c>
      <c r="P65" s="15" t="s">
        <v>18</v>
      </c>
      <c r="Q65" s="15">
        <v>0.06</v>
      </c>
      <c r="R65" s="16">
        <f t="shared" si="2"/>
        <v>161.54999999999998</v>
      </c>
      <c r="S65" s="15">
        <v>0</v>
      </c>
      <c r="T65" s="15">
        <v>0</v>
      </c>
      <c r="U65" s="17">
        <f t="shared" si="3"/>
        <v>161.54999999999998</v>
      </c>
      <c r="V65" s="12" t="s">
        <v>19</v>
      </c>
      <c r="W65" s="12">
        <v>8</v>
      </c>
    </row>
    <row r="66" spans="1:23" s="12" customFormat="1" ht="30.75" customHeight="1" thickTop="1" thickBot="1" x14ac:dyDescent="0.35">
      <c r="A66"/>
      <c r="D66" s="10"/>
      <c r="G66" s="13">
        <f t="shared" si="4"/>
        <v>65</v>
      </c>
      <c r="H66" s="18">
        <v>45675</v>
      </c>
      <c r="I66" s="15" t="s">
        <v>23</v>
      </c>
      <c r="J66" s="15">
        <v>36000</v>
      </c>
      <c r="K66" s="15">
        <v>200</v>
      </c>
      <c r="L66" s="15">
        <v>33840</v>
      </c>
      <c r="M66" s="16">
        <f t="shared" ref="M66:M129" si="5">IFERROR(L66/K66,"")</f>
        <v>169.2</v>
      </c>
      <c r="N66" s="15">
        <v>0</v>
      </c>
      <c r="O66" s="16">
        <f t="shared" ref="O66:O129" si="6">J66-N66</f>
        <v>36000</v>
      </c>
      <c r="P66" s="15" t="s">
        <v>18</v>
      </c>
      <c r="Q66" s="15">
        <v>0.06</v>
      </c>
      <c r="R66" s="16">
        <f t="shared" ref="R66:R129" si="7">J66*Q66</f>
        <v>2160</v>
      </c>
      <c r="S66" s="15">
        <v>0</v>
      </c>
      <c r="T66" s="15">
        <v>0</v>
      </c>
      <c r="U66" s="17">
        <f t="shared" ref="U66:U129" si="8">T66+S66+R66</f>
        <v>2160</v>
      </c>
      <c r="V66" s="12" t="s">
        <v>19</v>
      </c>
      <c r="W66" s="12">
        <v>8</v>
      </c>
    </row>
    <row r="67" spans="1:23" s="12" customFormat="1" ht="30.75" customHeight="1" thickTop="1" thickBot="1" x14ac:dyDescent="0.35">
      <c r="A67"/>
      <c r="D67" s="10"/>
      <c r="G67" s="13">
        <f t="shared" si="4"/>
        <v>66</v>
      </c>
      <c r="H67" s="18">
        <v>45675</v>
      </c>
      <c r="I67" s="15" t="s">
        <v>24</v>
      </c>
      <c r="J67" s="15">
        <v>6100</v>
      </c>
      <c r="K67" s="15">
        <v>20</v>
      </c>
      <c r="L67" s="15">
        <v>5734.75</v>
      </c>
      <c r="M67" s="16">
        <f t="shared" si="5"/>
        <v>286.73750000000001</v>
      </c>
      <c r="N67" s="15">
        <v>0</v>
      </c>
      <c r="O67" s="16">
        <f t="shared" si="6"/>
        <v>6100</v>
      </c>
      <c r="P67" s="15" t="s">
        <v>18</v>
      </c>
      <c r="Q67" s="15">
        <v>0.06</v>
      </c>
      <c r="R67" s="16">
        <f t="shared" si="7"/>
        <v>366</v>
      </c>
      <c r="S67" s="15">
        <v>0</v>
      </c>
      <c r="T67" s="15">
        <v>0</v>
      </c>
      <c r="U67" s="17">
        <f t="shared" si="8"/>
        <v>366</v>
      </c>
      <c r="V67" s="12" t="s">
        <v>19</v>
      </c>
      <c r="W67" s="12">
        <v>8</v>
      </c>
    </row>
    <row r="68" spans="1:23" s="12" customFormat="1" ht="30.75" customHeight="1" thickTop="1" thickBot="1" x14ac:dyDescent="0.35">
      <c r="A68"/>
      <c r="D68" s="10"/>
      <c r="G68" s="13">
        <f t="shared" ref="G68:G131" si="9">G67+1</f>
        <v>67</v>
      </c>
      <c r="H68" s="18">
        <v>45675</v>
      </c>
      <c r="I68" s="15" t="s">
        <v>31</v>
      </c>
      <c r="J68" s="15">
        <v>3600</v>
      </c>
      <c r="K68" s="15">
        <v>20</v>
      </c>
      <c r="L68" s="15">
        <v>3384</v>
      </c>
      <c r="M68" s="16">
        <f t="shared" si="5"/>
        <v>169.2</v>
      </c>
      <c r="N68" s="15">
        <v>0</v>
      </c>
      <c r="O68" s="16">
        <f t="shared" si="6"/>
        <v>3600</v>
      </c>
      <c r="P68" s="15" t="s">
        <v>18</v>
      </c>
      <c r="Q68" s="15">
        <v>0.06</v>
      </c>
      <c r="R68" s="16">
        <f t="shared" si="7"/>
        <v>216</v>
      </c>
      <c r="S68" s="15">
        <v>0</v>
      </c>
      <c r="T68" s="15">
        <v>0</v>
      </c>
      <c r="U68" s="17">
        <f t="shared" si="8"/>
        <v>216</v>
      </c>
      <c r="V68" s="12" t="s">
        <v>19</v>
      </c>
      <c r="W68" s="12">
        <v>8</v>
      </c>
    </row>
    <row r="69" spans="1:23" s="12" customFormat="1" ht="30.75" customHeight="1" thickTop="1" thickBot="1" x14ac:dyDescent="0.35">
      <c r="A69"/>
      <c r="D69" s="10"/>
      <c r="G69" s="13">
        <f t="shared" si="9"/>
        <v>68</v>
      </c>
      <c r="H69" s="18">
        <v>45675</v>
      </c>
      <c r="I69" s="15" t="s">
        <v>36</v>
      </c>
      <c r="J69" s="15">
        <v>610.08000000000004</v>
      </c>
      <c r="K69" s="15">
        <v>2</v>
      </c>
      <c r="L69" s="15">
        <v>573.48</v>
      </c>
      <c r="M69" s="16">
        <f t="shared" si="5"/>
        <v>286.74</v>
      </c>
      <c r="N69" s="15">
        <v>0</v>
      </c>
      <c r="O69" s="16">
        <f t="shared" si="6"/>
        <v>610.08000000000004</v>
      </c>
      <c r="P69" s="15" t="s">
        <v>18</v>
      </c>
      <c r="Q69" s="15">
        <v>0.06</v>
      </c>
      <c r="R69" s="16">
        <f t="shared" si="7"/>
        <v>36.604800000000004</v>
      </c>
      <c r="S69" s="15">
        <v>0</v>
      </c>
      <c r="T69" s="15">
        <v>0</v>
      </c>
      <c r="U69" s="17">
        <f t="shared" si="8"/>
        <v>36.604800000000004</v>
      </c>
      <c r="V69" s="12" t="s">
        <v>19</v>
      </c>
      <c r="W69" s="12">
        <v>8</v>
      </c>
    </row>
    <row r="70" spans="1:23" s="12" customFormat="1" ht="30.75" customHeight="1" thickTop="1" thickBot="1" x14ac:dyDescent="0.35">
      <c r="A70" s="23" t="s">
        <v>30</v>
      </c>
      <c r="D70" s="10"/>
      <c r="G70" s="13">
        <f t="shared" si="9"/>
        <v>69</v>
      </c>
      <c r="H70" s="18">
        <v>45677</v>
      </c>
      <c r="I70" s="15" t="s">
        <v>27</v>
      </c>
      <c r="J70" s="15">
        <v>10440.6</v>
      </c>
      <c r="K70" s="15">
        <v>30</v>
      </c>
      <c r="L70" s="15">
        <v>9469.6200000000008</v>
      </c>
      <c r="M70" s="16">
        <f t="shared" si="5"/>
        <v>315.65400000000005</v>
      </c>
      <c r="N70" s="15">
        <v>0</v>
      </c>
      <c r="O70" s="16">
        <f t="shared" si="6"/>
        <v>10440.6</v>
      </c>
      <c r="P70" s="15" t="s">
        <v>26</v>
      </c>
      <c r="Q70" s="15">
        <v>0.02</v>
      </c>
      <c r="R70" s="16">
        <f t="shared" si="7"/>
        <v>208.81200000000001</v>
      </c>
      <c r="S70" s="15">
        <v>0</v>
      </c>
      <c r="T70" s="15">
        <v>0</v>
      </c>
      <c r="U70" s="17">
        <f t="shared" si="8"/>
        <v>208.81200000000001</v>
      </c>
      <c r="V70" s="12" t="s">
        <v>19</v>
      </c>
      <c r="W70" s="12">
        <v>9</v>
      </c>
    </row>
    <row r="71" spans="1:23" s="12" customFormat="1" ht="30.75" customHeight="1" thickTop="1" thickBot="1" x14ac:dyDescent="0.35">
      <c r="A71" s="24" t="s">
        <v>17</v>
      </c>
      <c r="D71" s="10"/>
      <c r="G71" s="13">
        <f t="shared" si="9"/>
        <v>70</v>
      </c>
      <c r="H71" s="18">
        <v>45677</v>
      </c>
      <c r="I71" s="15" t="s">
        <v>38</v>
      </c>
      <c r="J71" s="15">
        <v>6960.4</v>
      </c>
      <c r="K71" s="15">
        <v>20</v>
      </c>
      <c r="L71" s="15">
        <v>6118</v>
      </c>
      <c r="M71" s="16">
        <f t="shared" si="5"/>
        <v>305.89999999999998</v>
      </c>
      <c r="N71" s="15">
        <v>0</v>
      </c>
      <c r="O71" s="16">
        <f t="shared" si="6"/>
        <v>6960.4</v>
      </c>
      <c r="P71" s="15" t="s">
        <v>26</v>
      </c>
      <c r="Q71" s="15">
        <v>0.02</v>
      </c>
      <c r="R71" s="16">
        <f t="shared" si="7"/>
        <v>139.208</v>
      </c>
      <c r="S71" s="15">
        <v>0</v>
      </c>
      <c r="T71" s="15">
        <v>0</v>
      </c>
      <c r="U71" s="17">
        <f t="shared" si="8"/>
        <v>139.208</v>
      </c>
      <c r="V71" s="12" t="s">
        <v>19</v>
      </c>
      <c r="W71" s="12">
        <v>9</v>
      </c>
    </row>
    <row r="72" spans="1:23" s="12" customFormat="1" ht="30.75" customHeight="1" thickTop="1" thickBot="1" x14ac:dyDescent="0.35">
      <c r="A72" s="24" t="s">
        <v>79</v>
      </c>
      <c r="D72" s="10"/>
      <c r="G72" s="13">
        <f t="shared" si="9"/>
        <v>71</v>
      </c>
      <c r="H72" s="18">
        <v>45677</v>
      </c>
      <c r="I72" s="15" t="s">
        <v>39</v>
      </c>
      <c r="J72" s="15">
        <v>16806</v>
      </c>
      <c r="K72" s="15">
        <v>50</v>
      </c>
      <c r="L72" s="15">
        <v>15293.46</v>
      </c>
      <c r="M72" s="16">
        <f t="shared" si="5"/>
        <v>305.86919999999998</v>
      </c>
      <c r="N72" s="15">
        <v>0</v>
      </c>
      <c r="O72" s="16">
        <f t="shared" si="6"/>
        <v>16806</v>
      </c>
      <c r="P72" s="15" t="s">
        <v>26</v>
      </c>
      <c r="Q72" s="15">
        <v>0.02</v>
      </c>
      <c r="R72" s="16">
        <f t="shared" si="7"/>
        <v>336.12</v>
      </c>
      <c r="S72" s="15">
        <v>0</v>
      </c>
      <c r="T72" s="15">
        <v>0</v>
      </c>
      <c r="U72" s="17">
        <f t="shared" si="8"/>
        <v>336.12</v>
      </c>
      <c r="V72" s="12" t="s">
        <v>19</v>
      </c>
      <c r="W72" s="12">
        <v>9</v>
      </c>
    </row>
    <row r="73" spans="1:23" s="12" customFormat="1" ht="30.75" customHeight="1" thickTop="1" thickBot="1" x14ac:dyDescent="0.35">
      <c r="A73" s="20" t="s">
        <v>35</v>
      </c>
      <c r="D73" s="10"/>
      <c r="G73" s="13">
        <f t="shared" si="9"/>
        <v>72</v>
      </c>
      <c r="H73" s="18">
        <v>45677</v>
      </c>
      <c r="I73" s="15" t="s">
        <v>25</v>
      </c>
      <c r="J73" s="15">
        <v>72024</v>
      </c>
      <c r="K73" s="15">
        <v>300</v>
      </c>
      <c r="L73" s="15">
        <v>57266.28</v>
      </c>
      <c r="M73" s="16">
        <f t="shared" si="5"/>
        <v>190.88759999999999</v>
      </c>
      <c r="N73" s="15">
        <v>0</v>
      </c>
      <c r="O73" s="16">
        <f t="shared" si="6"/>
        <v>72024</v>
      </c>
      <c r="P73" s="15" t="s">
        <v>26</v>
      </c>
      <c r="Q73" s="15">
        <v>0.02</v>
      </c>
      <c r="R73" s="16">
        <f t="shared" si="7"/>
        <v>1440.48</v>
      </c>
      <c r="S73" s="15">
        <v>0</v>
      </c>
      <c r="T73" s="15">
        <v>0</v>
      </c>
      <c r="U73" s="17">
        <f t="shared" si="8"/>
        <v>1440.48</v>
      </c>
      <c r="V73" s="12" t="s">
        <v>19</v>
      </c>
      <c r="W73" s="12">
        <v>9</v>
      </c>
    </row>
    <row r="74" spans="1:23" s="12" customFormat="1" ht="30.75" customHeight="1" thickTop="1" thickBot="1" x14ac:dyDescent="0.35">
      <c r="A74" s="24" t="s">
        <v>65</v>
      </c>
      <c r="D74" s="10"/>
      <c r="G74" s="13">
        <f t="shared" si="9"/>
        <v>73</v>
      </c>
      <c r="H74" s="18">
        <v>45677</v>
      </c>
      <c r="I74" s="15" t="s">
        <v>30</v>
      </c>
      <c r="J74" s="15">
        <v>42768</v>
      </c>
      <c r="K74" s="15">
        <v>150</v>
      </c>
      <c r="L74" s="15">
        <v>34184.46</v>
      </c>
      <c r="M74" s="16">
        <f t="shared" si="5"/>
        <v>227.8964</v>
      </c>
      <c r="N74" s="15">
        <v>0</v>
      </c>
      <c r="O74" s="16">
        <f t="shared" si="6"/>
        <v>42768</v>
      </c>
      <c r="P74" s="15" t="s">
        <v>18</v>
      </c>
      <c r="Q74" s="15">
        <v>0.06</v>
      </c>
      <c r="R74" s="16">
        <f t="shared" si="7"/>
        <v>2566.08</v>
      </c>
      <c r="S74" s="15">
        <v>0</v>
      </c>
      <c r="T74" s="15">
        <v>0</v>
      </c>
      <c r="U74" s="17">
        <f t="shared" si="8"/>
        <v>2566.08</v>
      </c>
      <c r="V74" s="12" t="s">
        <v>19</v>
      </c>
      <c r="W74" s="12">
        <v>9</v>
      </c>
    </row>
    <row r="75" spans="1:23" s="12" customFormat="1" ht="30.75" customHeight="1" thickTop="1" thickBot="1" x14ac:dyDescent="0.35">
      <c r="A75" s="24" t="s">
        <v>68</v>
      </c>
      <c r="D75" s="10"/>
      <c r="G75" s="13">
        <f t="shared" si="9"/>
        <v>74</v>
      </c>
      <c r="H75" s="18">
        <v>45677</v>
      </c>
      <c r="I75" s="15" t="s">
        <v>17</v>
      </c>
      <c r="J75" s="15">
        <v>57024</v>
      </c>
      <c r="K75" s="15">
        <v>200</v>
      </c>
      <c r="L75" s="15">
        <v>45579.28</v>
      </c>
      <c r="M75" s="16">
        <f t="shared" si="5"/>
        <v>227.8964</v>
      </c>
      <c r="N75" s="15">
        <v>0</v>
      </c>
      <c r="O75" s="16">
        <f t="shared" si="6"/>
        <v>57024</v>
      </c>
      <c r="P75" s="15" t="s">
        <v>18</v>
      </c>
      <c r="Q75" s="15">
        <v>0.06</v>
      </c>
      <c r="R75" s="16">
        <f t="shared" si="7"/>
        <v>3421.44</v>
      </c>
      <c r="S75" s="15">
        <v>0</v>
      </c>
      <c r="T75" s="15">
        <v>0</v>
      </c>
      <c r="U75" s="17">
        <f t="shared" si="8"/>
        <v>3421.44</v>
      </c>
      <c r="V75" s="12" t="s">
        <v>19</v>
      </c>
      <c r="W75" s="12">
        <v>9</v>
      </c>
    </row>
    <row r="76" spans="1:23" s="12" customFormat="1" ht="30.75" customHeight="1" thickTop="1" thickBot="1" x14ac:dyDescent="0.35">
      <c r="A76" s="24" t="s">
        <v>67</v>
      </c>
      <c r="D76" s="10"/>
      <c r="G76" s="13">
        <f t="shared" si="9"/>
        <v>75</v>
      </c>
      <c r="H76" s="18">
        <v>45677</v>
      </c>
      <c r="I76" s="15" t="s">
        <v>35</v>
      </c>
      <c r="J76" s="15">
        <v>6132</v>
      </c>
      <c r="K76" s="15">
        <v>35</v>
      </c>
      <c r="L76" s="15">
        <v>5764.08</v>
      </c>
      <c r="M76" s="16">
        <f t="shared" si="5"/>
        <v>164.68799999999999</v>
      </c>
      <c r="N76" s="15">
        <v>0</v>
      </c>
      <c r="O76" s="16">
        <f t="shared" si="6"/>
        <v>6132</v>
      </c>
      <c r="P76" s="15" t="s">
        <v>18</v>
      </c>
      <c r="Q76" s="15">
        <v>0.06</v>
      </c>
      <c r="R76" s="16">
        <f t="shared" si="7"/>
        <v>367.91999999999996</v>
      </c>
      <c r="S76" s="15">
        <v>0</v>
      </c>
      <c r="T76" s="15">
        <v>0</v>
      </c>
      <c r="U76" s="17">
        <f t="shared" si="8"/>
        <v>367.91999999999996</v>
      </c>
      <c r="V76" s="12" t="s">
        <v>19</v>
      </c>
      <c r="W76" s="12">
        <v>9</v>
      </c>
    </row>
    <row r="77" spans="1:23" s="12" customFormat="1" ht="30.75" customHeight="1" thickTop="1" thickBot="1" x14ac:dyDescent="0.35">
      <c r="A77" s="20" t="s">
        <v>20</v>
      </c>
      <c r="D77" s="10"/>
      <c r="G77" s="13">
        <f t="shared" si="9"/>
        <v>76</v>
      </c>
      <c r="H77" s="18">
        <v>45677</v>
      </c>
      <c r="I77" s="15" t="s">
        <v>21</v>
      </c>
      <c r="J77" s="15">
        <v>2232</v>
      </c>
      <c r="K77" s="15">
        <v>10</v>
      </c>
      <c r="L77" s="15">
        <v>2098.08</v>
      </c>
      <c r="M77" s="16">
        <f t="shared" si="5"/>
        <v>209.80799999999999</v>
      </c>
      <c r="N77" s="15">
        <v>0</v>
      </c>
      <c r="O77" s="16">
        <f t="shared" si="6"/>
        <v>2232</v>
      </c>
      <c r="P77" s="15" t="s">
        <v>18</v>
      </c>
      <c r="Q77" s="15">
        <v>0.06</v>
      </c>
      <c r="R77" s="16">
        <f t="shared" si="7"/>
        <v>133.91999999999999</v>
      </c>
      <c r="S77" s="15">
        <v>0</v>
      </c>
      <c r="T77" s="15">
        <v>0</v>
      </c>
      <c r="U77" s="17">
        <f t="shared" si="8"/>
        <v>133.91999999999999</v>
      </c>
      <c r="V77" s="12" t="s">
        <v>19</v>
      </c>
      <c r="W77" s="12">
        <v>9</v>
      </c>
    </row>
    <row r="78" spans="1:23" s="12" customFormat="1" ht="30.75" customHeight="1" thickTop="1" thickBot="1" x14ac:dyDescent="0.35">
      <c r="A78" s="24"/>
      <c r="D78" s="10"/>
      <c r="G78" s="13">
        <f t="shared" si="9"/>
        <v>77</v>
      </c>
      <c r="H78" s="18">
        <v>45677</v>
      </c>
      <c r="I78" s="15" t="s">
        <v>23</v>
      </c>
      <c r="J78" s="15">
        <v>18000</v>
      </c>
      <c r="K78" s="15">
        <v>100</v>
      </c>
      <c r="L78" s="15">
        <v>16920</v>
      </c>
      <c r="M78" s="16">
        <f t="shared" si="5"/>
        <v>169.2</v>
      </c>
      <c r="N78" s="15">
        <v>0</v>
      </c>
      <c r="O78" s="16">
        <f t="shared" si="6"/>
        <v>18000</v>
      </c>
      <c r="P78" s="15" t="s">
        <v>18</v>
      </c>
      <c r="Q78" s="15">
        <v>0.06</v>
      </c>
      <c r="R78" s="16">
        <f t="shared" si="7"/>
        <v>1080</v>
      </c>
      <c r="S78" s="15">
        <v>0</v>
      </c>
      <c r="T78" s="15">
        <v>0</v>
      </c>
      <c r="U78" s="17">
        <f t="shared" si="8"/>
        <v>1080</v>
      </c>
      <c r="V78" s="12" t="s">
        <v>19</v>
      </c>
      <c r="W78" s="12">
        <v>9</v>
      </c>
    </row>
    <row r="79" spans="1:23" s="12" customFormat="1" ht="30.75" customHeight="1" thickTop="1" thickBot="1" x14ac:dyDescent="0.35">
      <c r="A79" s="20" t="s">
        <v>21</v>
      </c>
      <c r="D79" s="10"/>
      <c r="G79" s="13">
        <f t="shared" si="9"/>
        <v>78</v>
      </c>
      <c r="H79" s="18">
        <v>45677</v>
      </c>
      <c r="I79" s="15" t="s">
        <v>31</v>
      </c>
      <c r="J79" s="15">
        <v>3600</v>
      </c>
      <c r="K79" s="15">
        <v>20</v>
      </c>
      <c r="L79" s="15">
        <v>3384</v>
      </c>
      <c r="M79" s="16">
        <f t="shared" si="5"/>
        <v>169.2</v>
      </c>
      <c r="N79" s="15">
        <v>0</v>
      </c>
      <c r="O79" s="16">
        <f t="shared" si="6"/>
        <v>3600</v>
      </c>
      <c r="P79" s="15" t="s">
        <v>18</v>
      </c>
      <c r="Q79" s="15">
        <v>0.06</v>
      </c>
      <c r="R79" s="16">
        <f t="shared" si="7"/>
        <v>216</v>
      </c>
      <c r="S79" s="15">
        <v>0</v>
      </c>
      <c r="T79" s="15">
        <v>0</v>
      </c>
      <c r="U79" s="17">
        <f t="shared" si="8"/>
        <v>216</v>
      </c>
      <c r="V79" s="12" t="s">
        <v>19</v>
      </c>
      <c r="W79" s="12">
        <v>9</v>
      </c>
    </row>
    <row r="80" spans="1:23" s="12" customFormat="1" ht="30.75" customHeight="1" thickTop="1" thickBot="1" x14ac:dyDescent="0.35">
      <c r="A80" s="20" t="s">
        <v>66</v>
      </c>
      <c r="D80" s="10"/>
      <c r="G80" s="13">
        <f t="shared" si="9"/>
        <v>79</v>
      </c>
      <c r="H80" s="18">
        <v>45679</v>
      </c>
      <c r="I80" s="15" t="s">
        <v>30</v>
      </c>
      <c r="J80" s="15">
        <v>28512</v>
      </c>
      <c r="K80" s="15">
        <v>100</v>
      </c>
      <c r="L80" s="15">
        <v>22789.64</v>
      </c>
      <c r="M80" s="16">
        <f t="shared" si="5"/>
        <v>227.8964</v>
      </c>
      <c r="N80" s="15">
        <v>0</v>
      </c>
      <c r="O80" s="16">
        <f t="shared" si="6"/>
        <v>28512</v>
      </c>
      <c r="P80" s="15" t="s">
        <v>18</v>
      </c>
      <c r="Q80" s="15">
        <v>0.06</v>
      </c>
      <c r="R80" s="16">
        <f t="shared" si="7"/>
        <v>1710.72</v>
      </c>
      <c r="S80" s="15">
        <v>0</v>
      </c>
      <c r="T80" s="15">
        <v>0</v>
      </c>
      <c r="U80" s="17">
        <f t="shared" si="8"/>
        <v>1710.72</v>
      </c>
      <c r="V80" s="12" t="s">
        <v>19</v>
      </c>
      <c r="W80" s="12">
        <v>10</v>
      </c>
    </row>
    <row r="81" spans="1:23" s="12" customFormat="1" ht="30.75" customHeight="1" thickTop="1" thickBot="1" x14ac:dyDescent="0.35">
      <c r="A81" s="24"/>
      <c r="D81" s="10"/>
      <c r="G81" s="13">
        <f t="shared" si="9"/>
        <v>80</v>
      </c>
      <c r="H81" s="18">
        <v>45679</v>
      </c>
      <c r="I81" s="15" t="s">
        <v>17</v>
      </c>
      <c r="J81" s="15">
        <v>57024</v>
      </c>
      <c r="K81" s="15">
        <v>200</v>
      </c>
      <c r="L81" s="15">
        <v>45579.28</v>
      </c>
      <c r="M81" s="16">
        <f t="shared" si="5"/>
        <v>227.8964</v>
      </c>
      <c r="N81" s="15">
        <v>0</v>
      </c>
      <c r="O81" s="16">
        <f t="shared" si="6"/>
        <v>57024</v>
      </c>
      <c r="P81" s="15" t="s">
        <v>18</v>
      </c>
      <c r="Q81" s="15">
        <v>0.06</v>
      </c>
      <c r="R81" s="16">
        <f t="shared" si="7"/>
        <v>3421.44</v>
      </c>
      <c r="S81" s="15">
        <v>0</v>
      </c>
      <c r="T81" s="15">
        <v>0</v>
      </c>
      <c r="U81" s="17">
        <f t="shared" si="8"/>
        <v>3421.44</v>
      </c>
      <c r="V81" s="12" t="s">
        <v>19</v>
      </c>
      <c r="W81" s="12">
        <v>10</v>
      </c>
    </row>
    <row r="82" spans="1:23" s="12" customFormat="1" ht="30.75" customHeight="1" thickTop="1" thickBot="1" x14ac:dyDescent="0.35">
      <c r="A82" s="20" t="s">
        <v>22</v>
      </c>
      <c r="D82" s="10"/>
      <c r="G82" s="13">
        <f t="shared" si="9"/>
        <v>81</v>
      </c>
      <c r="H82" s="18">
        <v>45679</v>
      </c>
      <c r="I82" s="15" t="s">
        <v>35</v>
      </c>
      <c r="J82" s="15">
        <v>3504</v>
      </c>
      <c r="K82" s="15">
        <v>20</v>
      </c>
      <c r="L82" s="15">
        <v>3293.76</v>
      </c>
      <c r="M82" s="16">
        <f t="shared" si="5"/>
        <v>164.68800000000002</v>
      </c>
      <c r="N82" s="15">
        <v>0</v>
      </c>
      <c r="O82" s="16">
        <f t="shared" si="6"/>
        <v>3504</v>
      </c>
      <c r="P82" s="15" t="s">
        <v>18</v>
      </c>
      <c r="Q82" s="15">
        <v>0.06</v>
      </c>
      <c r="R82" s="16">
        <f t="shared" si="7"/>
        <v>210.23999999999998</v>
      </c>
      <c r="S82" s="15">
        <v>0</v>
      </c>
      <c r="T82" s="15">
        <v>0</v>
      </c>
      <c r="U82" s="17">
        <f t="shared" si="8"/>
        <v>210.23999999999998</v>
      </c>
      <c r="V82" s="12" t="s">
        <v>19</v>
      </c>
      <c r="W82" s="12">
        <v>10</v>
      </c>
    </row>
    <row r="83" spans="1:23" s="12" customFormat="1" ht="30.75" customHeight="1" thickTop="1" thickBot="1" x14ac:dyDescent="0.35">
      <c r="A83" s="24"/>
      <c r="D83" s="10"/>
      <c r="G83" s="13">
        <f t="shared" si="9"/>
        <v>82</v>
      </c>
      <c r="H83" s="18">
        <v>45679</v>
      </c>
      <c r="I83" s="15" t="s">
        <v>21</v>
      </c>
      <c r="J83" s="15">
        <v>1116</v>
      </c>
      <c r="K83" s="15">
        <v>5</v>
      </c>
      <c r="L83" s="15">
        <v>1049.04</v>
      </c>
      <c r="M83" s="16">
        <f t="shared" si="5"/>
        <v>209.80799999999999</v>
      </c>
      <c r="N83" s="15">
        <v>0</v>
      </c>
      <c r="O83" s="16">
        <f t="shared" si="6"/>
        <v>1116</v>
      </c>
      <c r="P83" s="15" t="s">
        <v>18</v>
      </c>
      <c r="Q83" s="15">
        <v>0.06</v>
      </c>
      <c r="R83" s="16">
        <f t="shared" si="7"/>
        <v>66.959999999999994</v>
      </c>
      <c r="S83" s="15">
        <v>0</v>
      </c>
      <c r="T83" s="15">
        <v>0</v>
      </c>
      <c r="U83" s="17">
        <f t="shared" si="8"/>
        <v>66.959999999999994</v>
      </c>
      <c r="V83" s="12" t="s">
        <v>19</v>
      </c>
      <c r="W83" s="12">
        <v>10</v>
      </c>
    </row>
    <row r="84" spans="1:23" s="12" customFormat="1" ht="30.75" customHeight="1" thickTop="1" thickBot="1" x14ac:dyDescent="0.35">
      <c r="A84" s="20" t="s">
        <v>23</v>
      </c>
      <c r="D84" s="10"/>
      <c r="G84" s="13">
        <f t="shared" si="9"/>
        <v>83</v>
      </c>
      <c r="H84" s="18">
        <v>45679</v>
      </c>
      <c r="I84" s="15" t="s">
        <v>22</v>
      </c>
      <c r="J84" s="15">
        <v>2692.5</v>
      </c>
      <c r="K84" s="15">
        <v>10</v>
      </c>
      <c r="L84" s="15">
        <v>2530.9499999999998</v>
      </c>
      <c r="M84" s="16">
        <f t="shared" si="5"/>
        <v>253.09499999999997</v>
      </c>
      <c r="N84" s="15">
        <v>0</v>
      </c>
      <c r="O84" s="16">
        <f t="shared" si="6"/>
        <v>2692.5</v>
      </c>
      <c r="P84" s="15" t="s">
        <v>18</v>
      </c>
      <c r="Q84" s="15">
        <v>0.06</v>
      </c>
      <c r="R84" s="16">
        <f t="shared" si="7"/>
        <v>161.54999999999998</v>
      </c>
      <c r="S84" s="15">
        <v>-1798</v>
      </c>
      <c r="T84" s="15">
        <v>0</v>
      </c>
      <c r="U84" s="17">
        <f t="shared" si="8"/>
        <v>-1636.45</v>
      </c>
      <c r="V84" s="12" t="s">
        <v>19</v>
      </c>
      <c r="W84" s="12">
        <v>10</v>
      </c>
    </row>
    <row r="85" spans="1:23" s="12" customFormat="1" ht="30.75" customHeight="1" thickTop="1" thickBot="1" x14ac:dyDescent="0.35">
      <c r="A85" s="20" t="s">
        <v>80</v>
      </c>
      <c r="D85" s="10"/>
      <c r="G85" s="13">
        <f t="shared" si="9"/>
        <v>84</v>
      </c>
      <c r="H85" s="18">
        <v>45679</v>
      </c>
      <c r="I85" s="15" t="s">
        <v>23</v>
      </c>
      <c r="J85" s="15">
        <v>36000</v>
      </c>
      <c r="K85" s="15">
        <v>200</v>
      </c>
      <c r="L85" s="15">
        <v>33840</v>
      </c>
      <c r="M85" s="16">
        <f t="shared" si="5"/>
        <v>169.2</v>
      </c>
      <c r="N85" s="15">
        <v>0</v>
      </c>
      <c r="O85" s="16">
        <f t="shared" si="6"/>
        <v>36000</v>
      </c>
      <c r="P85" s="15" t="s">
        <v>18</v>
      </c>
      <c r="Q85" s="15">
        <v>0.06</v>
      </c>
      <c r="R85" s="16">
        <f t="shared" si="7"/>
        <v>2160</v>
      </c>
      <c r="S85" s="15">
        <v>11000</v>
      </c>
      <c r="T85" s="15">
        <v>0</v>
      </c>
      <c r="U85" s="17">
        <f t="shared" si="8"/>
        <v>13160</v>
      </c>
      <c r="V85" s="12" t="s">
        <v>19</v>
      </c>
      <c r="W85" s="12">
        <v>10</v>
      </c>
    </row>
    <row r="86" spans="1:23" s="10" customFormat="1" ht="30.75" customHeight="1" thickTop="1" thickBot="1" x14ac:dyDescent="0.35">
      <c r="A86" s="20" t="s">
        <v>24</v>
      </c>
      <c r="G86" s="25">
        <f t="shared" si="9"/>
        <v>85</v>
      </c>
      <c r="H86" s="26">
        <v>45679</v>
      </c>
      <c r="I86" s="16" t="s">
        <v>31</v>
      </c>
      <c r="J86" s="16">
        <v>3600</v>
      </c>
      <c r="K86" s="16">
        <v>20</v>
      </c>
      <c r="L86" s="16">
        <v>3384</v>
      </c>
      <c r="M86" s="16">
        <f t="shared" si="5"/>
        <v>169.2</v>
      </c>
      <c r="N86" s="15">
        <v>0</v>
      </c>
      <c r="O86" s="16">
        <f t="shared" si="6"/>
        <v>3600</v>
      </c>
      <c r="P86" s="15" t="s">
        <v>18</v>
      </c>
      <c r="Q86" s="15">
        <v>0.06</v>
      </c>
      <c r="R86" s="16">
        <f t="shared" si="7"/>
        <v>216</v>
      </c>
      <c r="S86" s="45">
        <v>0</v>
      </c>
      <c r="T86" s="45">
        <v>0</v>
      </c>
      <c r="U86" s="17">
        <f t="shared" si="8"/>
        <v>216</v>
      </c>
      <c r="V86" s="12" t="s">
        <v>19</v>
      </c>
      <c r="W86" s="10">
        <v>10</v>
      </c>
    </row>
    <row r="87" spans="1:23" s="12" customFormat="1" ht="30.75" customHeight="1" thickTop="1" thickBot="1" x14ac:dyDescent="0.35">
      <c r="A87" s="20" t="s">
        <v>31</v>
      </c>
      <c r="D87" s="10"/>
      <c r="G87" s="13">
        <f t="shared" si="9"/>
        <v>86</v>
      </c>
      <c r="H87" s="18">
        <v>45682</v>
      </c>
      <c r="I87" s="15" t="s">
        <v>30</v>
      </c>
      <c r="J87" s="15">
        <v>21384</v>
      </c>
      <c r="K87" s="15">
        <v>75</v>
      </c>
      <c r="L87" s="15">
        <v>17092.23</v>
      </c>
      <c r="M87" s="16">
        <f t="shared" si="5"/>
        <v>227.8964</v>
      </c>
      <c r="N87" s="15">
        <v>0</v>
      </c>
      <c r="O87" s="16">
        <f t="shared" si="6"/>
        <v>21384</v>
      </c>
      <c r="P87" s="15" t="s">
        <v>18</v>
      </c>
      <c r="Q87" s="15">
        <v>0.06</v>
      </c>
      <c r="R87" s="16">
        <f t="shared" si="7"/>
        <v>1283.04</v>
      </c>
      <c r="S87" s="15">
        <v>0</v>
      </c>
      <c r="T87" s="15">
        <v>0</v>
      </c>
      <c r="U87" s="17">
        <f t="shared" si="8"/>
        <v>1283.04</v>
      </c>
      <c r="V87" s="12" t="s">
        <v>40</v>
      </c>
      <c r="W87" s="12">
        <v>11</v>
      </c>
    </row>
    <row r="88" spans="1:23" s="12" customFormat="1" ht="30.75" customHeight="1" thickTop="1" thickBot="1" x14ac:dyDescent="0.35">
      <c r="A88" s="24" t="s">
        <v>36</v>
      </c>
      <c r="D88" s="10"/>
      <c r="G88" s="13">
        <f t="shared" si="9"/>
        <v>87</v>
      </c>
      <c r="H88" s="18">
        <v>45682</v>
      </c>
      <c r="I88" s="15" t="s">
        <v>17</v>
      </c>
      <c r="J88" s="15">
        <v>21384</v>
      </c>
      <c r="K88" s="15">
        <v>75</v>
      </c>
      <c r="L88" s="15">
        <v>17092.23</v>
      </c>
      <c r="M88" s="16">
        <f t="shared" si="5"/>
        <v>227.8964</v>
      </c>
      <c r="N88" s="15">
        <v>0</v>
      </c>
      <c r="O88" s="16">
        <f t="shared" si="6"/>
        <v>21384</v>
      </c>
      <c r="P88" s="15" t="s">
        <v>18</v>
      </c>
      <c r="Q88" s="15">
        <v>0.06</v>
      </c>
      <c r="R88" s="16">
        <f t="shared" si="7"/>
        <v>1283.04</v>
      </c>
      <c r="S88" s="15">
        <v>0</v>
      </c>
      <c r="T88" s="15">
        <v>0</v>
      </c>
      <c r="U88" s="17">
        <f t="shared" si="8"/>
        <v>1283.04</v>
      </c>
      <c r="V88" s="12" t="s">
        <v>40</v>
      </c>
      <c r="W88" s="12">
        <v>11</v>
      </c>
    </row>
    <row r="89" spans="1:23" s="12" customFormat="1" ht="30.75" customHeight="1" thickTop="1" thickBot="1" x14ac:dyDescent="0.35">
      <c r="A89" s="24" t="s">
        <v>81</v>
      </c>
      <c r="D89" s="10"/>
      <c r="G89" s="13">
        <f t="shared" si="9"/>
        <v>88</v>
      </c>
      <c r="H89" s="18">
        <v>45682</v>
      </c>
      <c r="I89" s="15" t="s">
        <v>35</v>
      </c>
      <c r="J89" s="15">
        <v>8760</v>
      </c>
      <c r="K89" s="15">
        <v>50</v>
      </c>
      <c r="L89" s="15">
        <v>8234.4</v>
      </c>
      <c r="M89" s="16">
        <f t="shared" si="5"/>
        <v>164.68799999999999</v>
      </c>
      <c r="N89" s="15">
        <v>0</v>
      </c>
      <c r="O89" s="16">
        <f t="shared" si="6"/>
        <v>8760</v>
      </c>
      <c r="P89" s="15" t="s">
        <v>18</v>
      </c>
      <c r="Q89" s="15">
        <v>0.06</v>
      </c>
      <c r="R89" s="16">
        <f t="shared" si="7"/>
        <v>525.6</v>
      </c>
      <c r="S89" s="15">
        <v>0</v>
      </c>
      <c r="T89" s="15">
        <v>0</v>
      </c>
      <c r="U89" s="17">
        <f t="shared" si="8"/>
        <v>525.6</v>
      </c>
      <c r="V89" s="12" t="s">
        <v>40</v>
      </c>
      <c r="W89" s="12">
        <v>11</v>
      </c>
    </row>
    <row r="90" spans="1:23" s="12" customFormat="1" ht="30.75" customHeight="1" thickTop="1" thickBot="1" x14ac:dyDescent="0.35">
      <c r="A90" s="24" t="s">
        <v>82</v>
      </c>
      <c r="D90" s="10"/>
      <c r="G90" s="13">
        <f t="shared" si="9"/>
        <v>89</v>
      </c>
      <c r="H90" s="18">
        <v>45682</v>
      </c>
      <c r="I90" s="15" t="s">
        <v>21</v>
      </c>
      <c r="J90" s="15">
        <v>2232</v>
      </c>
      <c r="K90" s="15">
        <v>10</v>
      </c>
      <c r="L90" s="15">
        <v>2098.06</v>
      </c>
      <c r="M90" s="16">
        <f t="shared" si="5"/>
        <v>209.80599999999998</v>
      </c>
      <c r="N90" s="15">
        <v>0</v>
      </c>
      <c r="O90" s="16">
        <f t="shared" si="6"/>
        <v>2232</v>
      </c>
      <c r="P90" s="15" t="s">
        <v>18</v>
      </c>
      <c r="Q90" s="15">
        <v>0.06</v>
      </c>
      <c r="R90" s="16">
        <f t="shared" si="7"/>
        <v>133.91999999999999</v>
      </c>
      <c r="S90" s="15">
        <v>0</v>
      </c>
      <c r="T90" s="15">
        <v>0</v>
      </c>
      <c r="U90" s="17">
        <f t="shared" si="8"/>
        <v>133.91999999999999</v>
      </c>
      <c r="V90" s="12" t="s">
        <v>40</v>
      </c>
      <c r="W90" s="12">
        <v>11</v>
      </c>
    </row>
    <row r="91" spans="1:23" s="12" customFormat="1" ht="30.75" customHeight="1" thickTop="1" thickBot="1" x14ac:dyDescent="0.35">
      <c r="A91" s="24" t="s">
        <v>83</v>
      </c>
      <c r="D91" s="10"/>
      <c r="G91" s="13">
        <f t="shared" si="9"/>
        <v>90</v>
      </c>
      <c r="H91" s="18">
        <v>45682</v>
      </c>
      <c r="I91" s="15" t="s">
        <v>22</v>
      </c>
      <c r="J91" s="15">
        <v>2692.5</v>
      </c>
      <c r="K91" s="15">
        <v>10</v>
      </c>
      <c r="L91" s="15">
        <v>2530.9499999999998</v>
      </c>
      <c r="M91" s="16">
        <f t="shared" si="5"/>
        <v>253.09499999999997</v>
      </c>
      <c r="N91" s="15">
        <v>0</v>
      </c>
      <c r="O91" s="16">
        <f t="shared" si="6"/>
        <v>2692.5</v>
      </c>
      <c r="P91" s="15" t="s">
        <v>18</v>
      </c>
      <c r="Q91" s="15">
        <v>0.06</v>
      </c>
      <c r="R91" s="16">
        <f t="shared" si="7"/>
        <v>161.54999999999998</v>
      </c>
      <c r="S91" s="15">
        <v>0</v>
      </c>
      <c r="T91" s="15">
        <v>0</v>
      </c>
      <c r="U91" s="17">
        <f t="shared" si="8"/>
        <v>161.54999999999998</v>
      </c>
      <c r="V91" s="12" t="s">
        <v>40</v>
      </c>
      <c r="W91" s="12">
        <v>11</v>
      </c>
    </row>
    <row r="92" spans="1:23" s="12" customFormat="1" ht="30.75" customHeight="1" thickTop="1" thickBot="1" x14ac:dyDescent="0.35">
      <c r="A92" s="24" t="s">
        <v>84</v>
      </c>
      <c r="D92" s="10"/>
      <c r="G92" s="13">
        <f t="shared" si="9"/>
        <v>91</v>
      </c>
      <c r="H92" s="18">
        <v>45684</v>
      </c>
      <c r="I92" s="15" t="s">
        <v>30</v>
      </c>
      <c r="J92" s="15">
        <v>42768</v>
      </c>
      <c r="K92" s="15">
        <v>150</v>
      </c>
      <c r="L92" s="15">
        <v>34184.46</v>
      </c>
      <c r="M92" s="16">
        <f t="shared" si="5"/>
        <v>227.8964</v>
      </c>
      <c r="N92" s="15">
        <v>0</v>
      </c>
      <c r="O92" s="16">
        <f t="shared" si="6"/>
        <v>42768</v>
      </c>
      <c r="P92" s="15" t="s">
        <v>18</v>
      </c>
      <c r="Q92" s="15">
        <v>0.06</v>
      </c>
      <c r="R92" s="16">
        <f t="shared" si="7"/>
        <v>2566.08</v>
      </c>
      <c r="S92" s="15">
        <v>0</v>
      </c>
      <c r="T92" s="15">
        <v>0</v>
      </c>
      <c r="U92" s="17">
        <f t="shared" si="8"/>
        <v>2566.08</v>
      </c>
      <c r="V92" s="12" t="s">
        <v>40</v>
      </c>
      <c r="W92" s="12">
        <v>122</v>
      </c>
    </row>
    <row r="93" spans="1:23" s="12" customFormat="1" ht="30.75" customHeight="1" thickTop="1" thickBot="1" x14ac:dyDescent="0.35">
      <c r="A93" s="24" t="s">
        <v>85</v>
      </c>
      <c r="D93" s="10"/>
      <c r="G93" s="13">
        <f t="shared" si="9"/>
        <v>92</v>
      </c>
      <c r="H93" s="18">
        <v>45684</v>
      </c>
      <c r="I93" s="15" t="s">
        <v>17</v>
      </c>
      <c r="J93" s="15">
        <v>57024</v>
      </c>
      <c r="K93" s="15">
        <v>200</v>
      </c>
      <c r="L93" s="15">
        <v>45579.28</v>
      </c>
      <c r="M93" s="16">
        <f t="shared" si="5"/>
        <v>227.8964</v>
      </c>
      <c r="N93" s="15">
        <v>0</v>
      </c>
      <c r="O93" s="16">
        <f t="shared" si="6"/>
        <v>57024</v>
      </c>
      <c r="P93" s="15" t="s">
        <v>18</v>
      </c>
      <c r="Q93" s="15">
        <v>0.06</v>
      </c>
      <c r="R93" s="16">
        <f t="shared" si="7"/>
        <v>3421.44</v>
      </c>
      <c r="S93" s="15">
        <v>0</v>
      </c>
      <c r="T93" s="15">
        <v>0</v>
      </c>
      <c r="U93" s="17">
        <f t="shared" si="8"/>
        <v>3421.44</v>
      </c>
      <c r="V93" s="12" t="s">
        <v>40</v>
      </c>
      <c r="W93" s="12">
        <v>122</v>
      </c>
    </row>
    <row r="94" spans="1:23" s="12" customFormat="1" ht="30.75" customHeight="1" thickTop="1" thickBot="1" x14ac:dyDescent="0.35">
      <c r="A94" s="24" t="s">
        <v>86</v>
      </c>
      <c r="D94" s="10"/>
      <c r="G94" s="13">
        <f t="shared" si="9"/>
        <v>93</v>
      </c>
      <c r="H94" s="18">
        <v>45684</v>
      </c>
      <c r="I94" s="15" t="s">
        <v>35</v>
      </c>
      <c r="J94" s="15">
        <v>10512</v>
      </c>
      <c r="K94" s="15">
        <v>60</v>
      </c>
      <c r="L94" s="15">
        <v>9881.2800000000007</v>
      </c>
      <c r="M94" s="16">
        <f t="shared" si="5"/>
        <v>164.68800000000002</v>
      </c>
      <c r="N94" s="15">
        <v>0</v>
      </c>
      <c r="O94" s="16">
        <f t="shared" si="6"/>
        <v>10512</v>
      </c>
      <c r="P94" s="15" t="s">
        <v>18</v>
      </c>
      <c r="Q94" s="15">
        <v>0.06</v>
      </c>
      <c r="R94" s="16">
        <f t="shared" si="7"/>
        <v>630.72</v>
      </c>
      <c r="S94" s="15">
        <v>0</v>
      </c>
      <c r="T94" s="15">
        <v>0</v>
      </c>
      <c r="U94" s="17">
        <f t="shared" si="8"/>
        <v>630.72</v>
      </c>
      <c r="V94" s="12" t="s">
        <v>40</v>
      </c>
      <c r="W94" s="12">
        <v>122</v>
      </c>
    </row>
    <row r="95" spans="1:23" s="12" customFormat="1" ht="30.75" customHeight="1" thickTop="1" thickBot="1" x14ac:dyDescent="0.35">
      <c r="A95" s="24" t="s">
        <v>87</v>
      </c>
      <c r="D95" s="10"/>
      <c r="G95" s="13">
        <f t="shared" si="9"/>
        <v>94</v>
      </c>
      <c r="H95" s="18">
        <v>45684</v>
      </c>
      <c r="I95" s="15" t="s">
        <v>20</v>
      </c>
      <c r="J95" s="15">
        <v>1152</v>
      </c>
      <c r="K95" s="15">
        <v>4</v>
      </c>
      <c r="L95" s="15">
        <v>1082.8800000000001</v>
      </c>
      <c r="M95" s="16">
        <f t="shared" si="5"/>
        <v>270.72000000000003</v>
      </c>
      <c r="N95" s="15">
        <v>0</v>
      </c>
      <c r="O95" s="16">
        <f t="shared" si="6"/>
        <v>1152</v>
      </c>
      <c r="P95" s="15" t="s">
        <v>18</v>
      </c>
      <c r="Q95" s="15">
        <v>0.06</v>
      </c>
      <c r="R95" s="16">
        <f t="shared" si="7"/>
        <v>69.12</v>
      </c>
      <c r="S95" s="15">
        <v>0</v>
      </c>
      <c r="T95" s="15">
        <v>0</v>
      </c>
      <c r="U95" s="17">
        <f t="shared" si="8"/>
        <v>69.12</v>
      </c>
      <c r="V95" s="12" t="s">
        <v>40</v>
      </c>
      <c r="W95" s="12">
        <v>122</v>
      </c>
    </row>
    <row r="96" spans="1:23" s="12" customFormat="1" ht="30.75" customHeight="1" thickTop="1" thickBot="1" x14ac:dyDescent="0.35">
      <c r="A96" s="24" t="s">
        <v>88</v>
      </c>
      <c r="D96" s="10"/>
      <c r="G96" s="13">
        <f t="shared" si="9"/>
        <v>95</v>
      </c>
      <c r="H96" s="18">
        <v>45684</v>
      </c>
      <c r="I96" s="15" t="s">
        <v>21</v>
      </c>
      <c r="J96" s="15">
        <v>2232</v>
      </c>
      <c r="K96" s="15">
        <v>10</v>
      </c>
      <c r="L96" s="15">
        <v>2098.06</v>
      </c>
      <c r="M96" s="16">
        <f t="shared" si="5"/>
        <v>209.80599999999998</v>
      </c>
      <c r="N96" s="15">
        <v>0</v>
      </c>
      <c r="O96" s="16">
        <f t="shared" si="6"/>
        <v>2232</v>
      </c>
      <c r="P96" s="15" t="s">
        <v>18</v>
      </c>
      <c r="Q96" s="15">
        <v>0.06</v>
      </c>
      <c r="R96" s="16">
        <f t="shared" si="7"/>
        <v>133.91999999999999</v>
      </c>
      <c r="S96" s="15">
        <v>0</v>
      </c>
      <c r="T96" s="15">
        <v>0</v>
      </c>
      <c r="U96" s="17">
        <f t="shared" si="8"/>
        <v>133.91999999999999</v>
      </c>
      <c r="V96" s="12" t="s">
        <v>40</v>
      </c>
      <c r="W96" s="12">
        <v>122</v>
      </c>
    </row>
    <row r="97" spans="1:23" s="12" customFormat="1" ht="30.75" customHeight="1" thickTop="1" thickBot="1" x14ac:dyDescent="0.35">
      <c r="A97" s="24" t="s">
        <v>44</v>
      </c>
      <c r="D97" s="10"/>
      <c r="G97" s="13">
        <f t="shared" si="9"/>
        <v>96</v>
      </c>
      <c r="H97" s="18">
        <v>45684</v>
      </c>
      <c r="I97" s="15" t="s">
        <v>22</v>
      </c>
      <c r="J97" s="15">
        <v>5385</v>
      </c>
      <c r="K97" s="15">
        <v>20</v>
      </c>
      <c r="L97" s="15">
        <v>5061.8999999999996</v>
      </c>
      <c r="M97" s="16">
        <f t="shared" si="5"/>
        <v>253.09499999999997</v>
      </c>
      <c r="N97" s="15">
        <v>0</v>
      </c>
      <c r="O97" s="16">
        <f t="shared" si="6"/>
        <v>5385</v>
      </c>
      <c r="P97" s="15" t="s">
        <v>18</v>
      </c>
      <c r="Q97" s="15">
        <v>0.06</v>
      </c>
      <c r="R97" s="16">
        <f t="shared" si="7"/>
        <v>323.09999999999997</v>
      </c>
      <c r="S97" s="15">
        <v>0</v>
      </c>
      <c r="T97" s="15">
        <v>0</v>
      </c>
      <c r="U97" s="17">
        <f t="shared" si="8"/>
        <v>323.09999999999997</v>
      </c>
      <c r="V97" s="12" t="s">
        <v>40</v>
      </c>
      <c r="W97" s="12">
        <v>122</v>
      </c>
    </row>
    <row r="98" spans="1:23" s="12" customFormat="1" ht="30.75" customHeight="1" thickTop="1" thickBot="1" x14ac:dyDescent="0.35">
      <c r="A98" s="27" t="s">
        <v>52</v>
      </c>
      <c r="D98" s="10"/>
      <c r="G98" s="13">
        <f t="shared" si="9"/>
        <v>97</v>
      </c>
      <c r="H98" s="18">
        <v>45684</v>
      </c>
      <c r="I98" s="15" t="s">
        <v>23</v>
      </c>
      <c r="J98" s="15">
        <v>36000</v>
      </c>
      <c r="K98" s="15">
        <v>200</v>
      </c>
      <c r="L98" s="15">
        <v>33840</v>
      </c>
      <c r="M98" s="16">
        <f t="shared" si="5"/>
        <v>169.2</v>
      </c>
      <c r="N98" s="15">
        <v>0</v>
      </c>
      <c r="O98" s="16">
        <f t="shared" si="6"/>
        <v>36000</v>
      </c>
      <c r="P98" s="15" t="s">
        <v>18</v>
      </c>
      <c r="Q98" s="15">
        <v>0.06</v>
      </c>
      <c r="R98" s="16">
        <f t="shared" si="7"/>
        <v>2160</v>
      </c>
      <c r="S98" s="15">
        <v>0</v>
      </c>
      <c r="T98" s="15">
        <v>0</v>
      </c>
      <c r="U98" s="17">
        <f t="shared" si="8"/>
        <v>2160</v>
      </c>
      <c r="V98" s="12" t="s">
        <v>40</v>
      </c>
      <c r="W98" s="12">
        <v>122</v>
      </c>
    </row>
    <row r="99" spans="1:23" s="12" customFormat="1" ht="30.75" customHeight="1" thickTop="1" thickBot="1" x14ac:dyDescent="0.35">
      <c r="A99"/>
      <c r="D99" s="10"/>
      <c r="G99" s="13">
        <f t="shared" si="9"/>
        <v>98</v>
      </c>
      <c r="H99" s="18">
        <v>45684</v>
      </c>
      <c r="I99" s="15" t="s">
        <v>24</v>
      </c>
      <c r="J99" s="15">
        <v>6100</v>
      </c>
      <c r="K99" s="15">
        <v>20</v>
      </c>
      <c r="L99" s="15">
        <v>5734.75</v>
      </c>
      <c r="M99" s="16">
        <f t="shared" si="5"/>
        <v>286.73750000000001</v>
      </c>
      <c r="N99" s="15">
        <v>0</v>
      </c>
      <c r="O99" s="16">
        <f t="shared" si="6"/>
        <v>6100</v>
      </c>
      <c r="P99" s="15" t="s">
        <v>18</v>
      </c>
      <c r="Q99" s="15">
        <v>0.06</v>
      </c>
      <c r="R99" s="16">
        <f t="shared" si="7"/>
        <v>366</v>
      </c>
      <c r="S99" s="15">
        <v>0</v>
      </c>
      <c r="T99" s="15">
        <v>0</v>
      </c>
      <c r="U99" s="17">
        <f t="shared" si="8"/>
        <v>366</v>
      </c>
      <c r="V99" s="12" t="s">
        <v>40</v>
      </c>
      <c r="W99" s="12">
        <v>122</v>
      </c>
    </row>
    <row r="100" spans="1:23" s="12" customFormat="1" ht="30.75" customHeight="1" thickTop="1" thickBot="1" x14ac:dyDescent="0.35">
      <c r="A100"/>
      <c r="D100" s="10"/>
      <c r="G100" s="13">
        <f t="shared" si="9"/>
        <v>99</v>
      </c>
      <c r="H100" s="18">
        <v>45684</v>
      </c>
      <c r="I100" s="15" t="s">
        <v>31</v>
      </c>
      <c r="J100" s="15">
        <v>5400</v>
      </c>
      <c r="K100" s="15">
        <v>30</v>
      </c>
      <c r="L100" s="15">
        <v>5076</v>
      </c>
      <c r="M100" s="16">
        <f t="shared" si="5"/>
        <v>169.2</v>
      </c>
      <c r="N100" s="15">
        <v>0</v>
      </c>
      <c r="O100" s="16">
        <f t="shared" si="6"/>
        <v>5400</v>
      </c>
      <c r="P100" s="15" t="s">
        <v>18</v>
      </c>
      <c r="Q100" s="15">
        <v>0.06</v>
      </c>
      <c r="R100" s="16">
        <f t="shared" si="7"/>
        <v>324</v>
      </c>
      <c r="S100" s="15">
        <v>0</v>
      </c>
      <c r="T100" s="15">
        <v>0</v>
      </c>
      <c r="U100" s="17">
        <f t="shared" si="8"/>
        <v>324</v>
      </c>
      <c r="V100" s="12" t="s">
        <v>40</v>
      </c>
      <c r="W100" s="12">
        <v>122</v>
      </c>
    </row>
    <row r="101" spans="1:23" s="12" customFormat="1" ht="30.75" customHeight="1" thickTop="1" thickBot="1" x14ac:dyDescent="0.35">
      <c r="A101"/>
      <c r="D101" s="10"/>
      <c r="G101" s="13">
        <f t="shared" si="9"/>
        <v>100</v>
      </c>
      <c r="H101" s="18">
        <v>45684</v>
      </c>
      <c r="I101" s="15" t="s">
        <v>36</v>
      </c>
      <c r="J101" s="15">
        <v>610.08000000000004</v>
      </c>
      <c r="K101" s="15">
        <v>2</v>
      </c>
      <c r="L101" s="15">
        <v>573.48</v>
      </c>
      <c r="M101" s="16">
        <f t="shared" si="5"/>
        <v>286.74</v>
      </c>
      <c r="N101" s="15">
        <v>0</v>
      </c>
      <c r="O101" s="16">
        <f t="shared" si="6"/>
        <v>610.08000000000004</v>
      </c>
      <c r="P101" s="15" t="s">
        <v>18</v>
      </c>
      <c r="Q101" s="15">
        <v>0.06</v>
      </c>
      <c r="R101" s="16">
        <f t="shared" si="7"/>
        <v>36.604800000000004</v>
      </c>
      <c r="S101" s="15">
        <v>0</v>
      </c>
      <c r="T101" s="15">
        <v>0</v>
      </c>
      <c r="U101" s="17">
        <f t="shared" si="8"/>
        <v>36.604800000000004</v>
      </c>
      <c r="V101" s="12" t="s">
        <v>40</v>
      </c>
      <c r="W101" s="12">
        <v>122</v>
      </c>
    </row>
    <row r="102" spans="1:23" s="12" customFormat="1" ht="30.75" customHeight="1" thickTop="1" thickBot="1" x14ac:dyDescent="0.35">
      <c r="A102"/>
      <c r="D102" s="10"/>
      <c r="G102" s="13">
        <f t="shared" si="9"/>
        <v>101</v>
      </c>
      <c r="H102" s="18">
        <v>45684</v>
      </c>
      <c r="I102" s="15" t="s">
        <v>34</v>
      </c>
      <c r="J102" s="15">
        <v>4576.5</v>
      </c>
      <c r="K102" s="15">
        <v>15</v>
      </c>
      <c r="L102" s="15">
        <v>4347.68</v>
      </c>
      <c r="M102" s="16">
        <f t="shared" si="5"/>
        <v>289.84533333333337</v>
      </c>
      <c r="N102" s="15">
        <v>0</v>
      </c>
      <c r="O102" s="16">
        <f t="shared" si="6"/>
        <v>4576.5</v>
      </c>
      <c r="P102" s="15" t="s">
        <v>33</v>
      </c>
      <c r="Q102" s="15">
        <v>0.01</v>
      </c>
      <c r="R102" s="16">
        <f t="shared" si="7"/>
        <v>45.765000000000001</v>
      </c>
      <c r="S102" s="15">
        <v>0</v>
      </c>
      <c r="T102" s="15">
        <v>0</v>
      </c>
      <c r="U102" s="17">
        <f t="shared" si="8"/>
        <v>45.765000000000001</v>
      </c>
      <c r="V102" s="12" t="s">
        <v>40</v>
      </c>
      <c r="W102" s="12">
        <v>122</v>
      </c>
    </row>
    <row r="103" spans="1:23" s="12" customFormat="1" ht="30.75" customHeight="1" thickTop="1" thickBot="1" x14ac:dyDescent="0.35">
      <c r="A103"/>
      <c r="D103" s="10"/>
      <c r="G103" s="13">
        <f t="shared" si="9"/>
        <v>102</v>
      </c>
      <c r="H103" s="18">
        <v>45684</v>
      </c>
      <c r="I103" s="15" t="s">
        <v>25</v>
      </c>
      <c r="J103" s="15">
        <v>96032</v>
      </c>
      <c r="K103" s="15">
        <v>400</v>
      </c>
      <c r="L103" s="15">
        <v>76086.149999999994</v>
      </c>
      <c r="M103" s="16">
        <f t="shared" si="5"/>
        <v>190.21537499999999</v>
      </c>
      <c r="N103" s="15">
        <v>0</v>
      </c>
      <c r="O103" s="16">
        <f t="shared" si="6"/>
        <v>96032</v>
      </c>
      <c r="P103" s="15" t="s">
        <v>26</v>
      </c>
      <c r="Q103" s="15">
        <v>0.02</v>
      </c>
      <c r="R103" s="16">
        <f t="shared" si="7"/>
        <v>1920.64</v>
      </c>
      <c r="S103" s="15">
        <v>0</v>
      </c>
      <c r="T103" s="15">
        <v>0</v>
      </c>
      <c r="U103" s="17">
        <f t="shared" si="8"/>
        <v>1920.64</v>
      </c>
      <c r="V103" s="12" t="s">
        <v>40</v>
      </c>
      <c r="W103" s="12">
        <v>122</v>
      </c>
    </row>
    <row r="104" spans="1:23" s="12" customFormat="1" ht="30.75" customHeight="1" thickTop="1" thickBot="1" x14ac:dyDescent="0.35">
      <c r="A104"/>
      <c r="D104" s="10"/>
      <c r="G104" s="13">
        <f t="shared" si="9"/>
        <v>103</v>
      </c>
      <c r="H104" s="18">
        <v>45684</v>
      </c>
      <c r="I104" s="15" t="s">
        <v>37</v>
      </c>
      <c r="J104" s="15">
        <v>51813</v>
      </c>
      <c r="K104" s="15">
        <v>100</v>
      </c>
      <c r="L104" s="15">
        <v>50776.74</v>
      </c>
      <c r="M104" s="16">
        <f t="shared" si="5"/>
        <v>507.76739999999995</v>
      </c>
      <c r="N104" s="15">
        <v>0</v>
      </c>
      <c r="O104" s="16">
        <f t="shared" si="6"/>
        <v>51813</v>
      </c>
      <c r="P104" s="15" t="s">
        <v>29</v>
      </c>
      <c r="Q104" s="15">
        <v>0.02</v>
      </c>
      <c r="R104" s="16">
        <f t="shared" si="7"/>
        <v>1036.26</v>
      </c>
      <c r="S104" s="15">
        <v>0</v>
      </c>
      <c r="T104" s="15">
        <v>0</v>
      </c>
      <c r="U104" s="17">
        <f t="shared" si="8"/>
        <v>1036.26</v>
      </c>
      <c r="V104" s="12" t="s">
        <v>40</v>
      </c>
      <c r="W104" s="12">
        <v>123</v>
      </c>
    </row>
    <row r="105" spans="1:23" s="12" customFormat="1" ht="30.75" customHeight="1" thickTop="1" thickBot="1" x14ac:dyDescent="0.35">
      <c r="A105"/>
      <c r="D105" s="10"/>
      <c r="G105" s="13">
        <f t="shared" si="9"/>
        <v>104</v>
      </c>
      <c r="H105" s="18">
        <v>45684</v>
      </c>
      <c r="I105" s="15" t="s">
        <v>28</v>
      </c>
      <c r="J105" s="15">
        <v>53001</v>
      </c>
      <c r="K105" s="15">
        <v>100</v>
      </c>
      <c r="L105" s="15">
        <v>51940.98</v>
      </c>
      <c r="M105" s="16">
        <f t="shared" si="5"/>
        <v>519.40980000000002</v>
      </c>
      <c r="N105" s="15">
        <v>0</v>
      </c>
      <c r="O105" s="16">
        <f t="shared" si="6"/>
        <v>53001</v>
      </c>
      <c r="P105" s="15" t="s">
        <v>29</v>
      </c>
      <c r="Q105" s="15">
        <v>0.02</v>
      </c>
      <c r="R105" s="16">
        <f t="shared" si="7"/>
        <v>1060.02</v>
      </c>
      <c r="S105" s="15">
        <v>0</v>
      </c>
      <c r="T105" s="15">
        <v>0</v>
      </c>
      <c r="U105" s="17">
        <f t="shared" si="8"/>
        <v>1060.02</v>
      </c>
      <c r="V105" s="12" t="s">
        <v>40</v>
      </c>
      <c r="W105" s="12">
        <v>123</v>
      </c>
    </row>
    <row r="106" spans="1:23" s="12" customFormat="1" ht="30.75" customHeight="1" thickTop="1" thickBot="1" x14ac:dyDescent="0.35">
      <c r="A106"/>
      <c r="D106" s="10"/>
      <c r="G106" s="13">
        <f t="shared" si="9"/>
        <v>105</v>
      </c>
      <c r="H106" s="18">
        <v>45684</v>
      </c>
      <c r="I106" s="15" t="s">
        <v>34</v>
      </c>
      <c r="J106" s="15">
        <v>4576.5</v>
      </c>
      <c r="K106" s="15">
        <v>15</v>
      </c>
      <c r="L106" s="15">
        <v>4347.68</v>
      </c>
      <c r="M106" s="16">
        <f t="shared" si="5"/>
        <v>289.84533333333337</v>
      </c>
      <c r="N106" s="15">
        <v>0</v>
      </c>
      <c r="O106" s="16">
        <f t="shared" si="6"/>
        <v>4576.5</v>
      </c>
      <c r="P106" s="15" t="s">
        <v>33</v>
      </c>
      <c r="Q106" s="15">
        <v>0.01</v>
      </c>
      <c r="R106" s="16">
        <f t="shared" si="7"/>
        <v>45.765000000000001</v>
      </c>
      <c r="S106" s="15">
        <v>0</v>
      </c>
      <c r="T106" s="15">
        <v>0</v>
      </c>
      <c r="U106" s="17">
        <f t="shared" si="8"/>
        <v>45.765000000000001</v>
      </c>
      <c r="V106" s="12" t="s">
        <v>40</v>
      </c>
      <c r="W106" s="12">
        <v>123</v>
      </c>
    </row>
    <row r="107" spans="1:23" s="12" customFormat="1" ht="30.75" customHeight="1" thickTop="1" thickBot="1" x14ac:dyDescent="0.35">
      <c r="A107"/>
      <c r="D107" s="10"/>
      <c r="G107" s="13">
        <f t="shared" si="9"/>
        <v>106</v>
      </c>
      <c r="H107" s="18">
        <v>45684</v>
      </c>
      <c r="I107" s="15" t="s">
        <v>25</v>
      </c>
      <c r="J107" s="15">
        <v>96032</v>
      </c>
      <c r="K107" s="15">
        <v>400</v>
      </c>
      <c r="L107" s="15">
        <v>76086.149999999994</v>
      </c>
      <c r="M107" s="16">
        <f t="shared" si="5"/>
        <v>190.21537499999999</v>
      </c>
      <c r="N107" s="15">
        <v>0</v>
      </c>
      <c r="O107" s="16">
        <f t="shared" si="6"/>
        <v>96032</v>
      </c>
      <c r="P107" s="15" t="s">
        <v>26</v>
      </c>
      <c r="Q107" s="15">
        <v>0.02</v>
      </c>
      <c r="R107" s="16">
        <f t="shared" si="7"/>
        <v>1920.64</v>
      </c>
      <c r="S107" s="15">
        <v>0</v>
      </c>
      <c r="T107" s="15">
        <v>0</v>
      </c>
      <c r="U107" s="17">
        <f t="shared" si="8"/>
        <v>1920.64</v>
      </c>
      <c r="V107" s="12" t="s">
        <v>40</v>
      </c>
      <c r="W107" s="12">
        <v>123</v>
      </c>
    </row>
    <row r="108" spans="1:23" s="12" customFormat="1" ht="30.75" customHeight="1" thickTop="1" thickBot="1" x14ac:dyDescent="0.35">
      <c r="A108"/>
      <c r="D108" s="10"/>
      <c r="G108" s="13">
        <f t="shared" si="9"/>
        <v>107</v>
      </c>
      <c r="H108" s="18">
        <v>45684</v>
      </c>
      <c r="I108" s="15" t="s">
        <v>37</v>
      </c>
      <c r="J108" s="15">
        <v>51813</v>
      </c>
      <c r="K108" s="15">
        <v>100</v>
      </c>
      <c r="L108" s="15">
        <v>49740.480000000003</v>
      </c>
      <c r="M108" s="16">
        <f t="shared" si="5"/>
        <v>497.40480000000002</v>
      </c>
      <c r="N108" s="15">
        <v>0</v>
      </c>
      <c r="O108" s="16">
        <f t="shared" si="6"/>
        <v>51813</v>
      </c>
      <c r="P108" s="15" t="s">
        <v>29</v>
      </c>
      <c r="Q108" s="15">
        <v>0.02</v>
      </c>
      <c r="R108" s="16">
        <f t="shared" si="7"/>
        <v>1036.26</v>
      </c>
      <c r="S108" s="15">
        <v>0</v>
      </c>
      <c r="T108" s="15">
        <v>0</v>
      </c>
      <c r="U108" s="17">
        <f t="shared" si="8"/>
        <v>1036.26</v>
      </c>
      <c r="V108" s="12" t="s">
        <v>40</v>
      </c>
      <c r="W108" s="12">
        <v>123</v>
      </c>
    </row>
    <row r="109" spans="1:23" s="12" customFormat="1" ht="30.75" customHeight="1" thickTop="1" thickBot="1" x14ac:dyDescent="0.35">
      <c r="A109"/>
      <c r="D109" s="10"/>
      <c r="G109" s="13">
        <f t="shared" si="9"/>
        <v>108</v>
      </c>
      <c r="H109" s="18">
        <v>45684</v>
      </c>
      <c r="I109" s="15" t="s">
        <v>28</v>
      </c>
      <c r="J109" s="15">
        <v>53001</v>
      </c>
      <c r="K109" s="15">
        <v>100</v>
      </c>
      <c r="L109" s="15">
        <v>50880.959999999999</v>
      </c>
      <c r="M109" s="16">
        <f t="shared" si="5"/>
        <v>508.80959999999999</v>
      </c>
      <c r="N109" s="15">
        <v>0</v>
      </c>
      <c r="O109" s="16">
        <f t="shared" si="6"/>
        <v>53001</v>
      </c>
      <c r="P109" s="15" t="s">
        <v>29</v>
      </c>
      <c r="Q109" s="15">
        <v>0.02</v>
      </c>
      <c r="R109" s="16">
        <f t="shared" si="7"/>
        <v>1060.02</v>
      </c>
      <c r="S109" s="15">
        <v>0</v>
      </c>
      <c r="T109" s="15">
        <v>0</v>
      </c>
      <c r="U109" s="17">
        <f t="shared" si="8"/>
        <v>1060.02</v>
      </c>
      <c r="V109" s="12" t="s">
        <v>40</v>
      </c>
      <c r="W109" s="12">
        <v>123</v>
      </c>
    </row>
    <row r="110" spans="1:23" s="12" customFormat="1" ht="30.75" customHeight="1" thickTop="1" thickBot="1" x14ac:dyDescent="0.35">
      <c r="A110"/>
      <c r="D110" s="10"/>
      <c r="G110" s="13">
        <f t="shared" si="9"/>
        <v>109</v>
      </c>
      <c r="H110" s="18">
        <v>45686</v>
      </c>
      <c r="I110" s="15" t="s">
        <v>30</v>
      </c>
      <c r="J110" s="15">
        <v>42768</v>
      </c>
      <c r="K110" s="15">
        <v>150</v>
      </c>
      <c r="L110" s="15">
        <v>34184.46</v>
      </c>
      <c r="M110" s="16">
        <f t="shared" si="5"/>
        <v>227.8964</v>
      </c>
      <c r="N110" s="15">
        <v>0</v>
      </c>
      <c r="O110" s="16">
        <f t="shared" si="6"/>
        <v>42768</v>
      </c>
      <c r="P110" s="15" t="s">
        <v>18</v>
      </c>
      <c r="Q110" s="15">
        <v>0.06</v>
      </c>
      <c r="R110" s="16">
        <f t="shared" si="7"/>
        <v>2566.08</v>
      </c>
      <c r="S110" s="15">
        <v>0</v>
      </c>
      <c r="T110" s="15">
        <v>0</v>
      </c>
      <c r="U110" s="17">
        <f t="shared" si="8"/>
        <v>2566.08</v>
      </c>
      <c r="V110" s="12" t="s">
        <v>40</v>
      </c>
      <c r="W110" s="12">
        <v>12</v>
      </c>
    </row>
    <row r="111" spans="1:23" s="12" customFormat="1" ht="30.75" customHeight="1" thickTop="1" thickBot="1" x14ac:dyDescent="0.35">
      <c r="A111"/>
      <c r="D111" s="10"/>
      <c r="G111" s="13">
        <f t="shared" si="9"/>
        <v>110</v>
      </c>
      <c r="H111" s="18">
        <v>45686</v>
      </c>
      <c r="I111" s="15" t="s">
        <v>17</v>
      </c>
      <c r="J111" s="15">
        <v>57024</v>
      </c>
      <c r="K111" s="15">
        <v>200</v>
      </c>
      <c r="L111" s="15">
        <v>45579.28</v>
      </c>
      <c r="M111" s="16">
        <f t="shared" si="5"/>
        <v>227.8964</v>
      </c>
      <c r="N111" s="15">
        <v>0</v>
      </c>
      <c r="O111" s="16">
        <f t="shared" si="6"/>
        <v>57024</v>
      </c>
      <c r="P111" s="15" t="s">
        <v>18</v>
      </c>
      <c r="Q111" s="15">
        <v>0.06</v>
      </c>
      <c r="R111" s="16">
        <f t="shared" si="7"/>
        <v>3421.44</v>
      </c>
      <c r="S111" s="15">
        <v>0</v>
      </c>
      <c r="T111" s="15">
        <v>0</v>
      </c>
      <c r="U111" s="17">
        <f t="shared" si="8"/>
        <v>3421.44</v>
      </c>
      <c r="V111" s="12" t="s">
        <v>40</v>
      </c>
      <c r="W111" s="12">
        <v>12</v>
      </c>
    </row>
    <row r="112" spans="1:23" s="12" customFormat="1" ht="30.75" customHeight="1" thickTop="1" thickBot="1" x14ac:dyDescent="0.35">
      <c r="A112"/>
      <c r="D112" s="10"/>
      <c r="G112" s="13">
        <f t="shared" si="9"/>
        <v>111</v>
      </c>
      <c r="H112" s="18">
        <v>45686</v>
      </c>
      <c r="I112" s="15" t="s">
        <v>20</v>
      </c>
      <c r="J112" s="15">
        <v>576</v>
      </c>
      <c r="K112" s="15">
        <v>2</v>
      </c>
      <c r="L112" s="15">
        <v>541.44000000000005</v>
      </c>
      <c r="M112" s="16">
        <f t="shared" si="5"/>
        <v>270.72000000000003</v>
      </c>
      <c r="N112" s="15">
        <v>0</v>
      </c>
      <c r="O112" s="16">
        <f t="shared" si="6"/>
        <v>576</v>
      </c>
      <c r="P112" s="15" t="s">
        <v>18</v>
      </c>
      <c r="Q112" s="15">
        <v>0.06</v>
      </c>
      <c r="R112" s="16">
        <f t="shared" si="7"/>
        <v>34.56</v>
      </c>
      <c r="S112" s="15">
        <v>0</v>
      </c>
      <c r="T112" s="15">
        <v>0</v>
      </c>
      <c r="U112" s="17">
        <f t="shared" si="8"/>
        <v>34.56</v>
      </c>
      <c r="V112" s="12" t="s">
        <v>40</v>
      </c>
      <c r="W112" s="12">
        <v>12</v>
      </c>
    </row>
    <row r="113" spans="1:23" s="12" customFormat="1" ht="30.75" customHeight="1" thickTop="1" thickBot="1" x14ac:dyDescent="0.35">
      <c r="A113"/>
      <c r="D113" s="10"/>
      <c r="G113" s="13">
        <f t="shared" si="9"/>
        <v>112</v>
      </c>
      <c r="H113" s="18">
        <v>45686</v>
      </c>
      <c r="I113" s="15" t="s">
        <v>21</v>
      </c>
      <c r="J113" s="15">
        <v>2232</v>
      </c>
      <c r="K113" s="15">
        <v>10</v>
      </c>
      <c r="L113" s="15">
        <v>2098.08</v>
      </c>
      <c r="M113" s="16">
        <f t="shared" si="5"/>
        <v>209.80799999999999</v>
      </c>
      <c r="N113" s="15">
        <v>0</v>
      </c>
      <c r="O113" s="16">
        <f t="shared" si="6"/>
        <v>2232</v>
      </c>
      <c r="P113" s="15" t="s">
        <v>18</v>
      </c>
      <c r="Q113" s="15">
        <v>0.06</v>
      </c>
      <c r="R113" s="16">
        <f t="shared" si="7"/>
        <v>133.91999999999999</v>
      </c>
      <c r="S113" s="15">
        <v>0</v>
      </c>
      <c r="T113" s="15">
        <v>0</v>
      </c>
      <c r="U113" s="17">
        <f t="shared" si="8"/>
        <v>133.91999999999999</v>
      </c>
      <c r="V113" s="12" t="s">
        <v>40</v>
      </c>
      <c r="W113" s="12">
        <v>13</v>
      </c>
    </row>
    <row r="114" spans="1:23" s="12" customFormat="1" ht="30.75" customHeight="1" thickTop="1" thickBot="1" x14ac:dyDescent="0.35">
      <c r="A114"/>
      <c r="D114" s="10"/>
      <c r="G114" s="13">
        <f t="shared" si="9"/>
        <v>113</v>
      </c>
      <c r="H114" s="18">
        <v>45686</v>
      </c>
      <c r="I114" s="15" t="s">
        <v>23</v>
      </c>
      <c r="J114" s="15">
        <v>36000</v>
      </c>
      <c r="K114" s="15">
        <v>200</v>
      </c>
      <c r="L114" s="15">
        <v>33840</v>
      </c>
      <c r="M114" s="16">
        <f t="shared" si="5"/>
        <v>169.2</v>
      </c>
      <c r="N114" s="15">
        <v>0</v>
      </c>
      <c r="O114" s="16">
        <f t="shared" si="6"/>
        <v>36000</v>
      </c>
      <c r="P114" s="15" t="s">
        <v>18</v>
      </c>
      <c r="Q114" s="15">
        <v>0.06</v>
      </c>
      <c r="R114" s="16">
        <f t="shared" si="7"/>
        <v>2160</v>
      </c>
      <c r="S114" s="15">
        <v>0</v>
      </c>
      <c r="T114" s="15">
        <v>0</v>
      </c>
      <c r="U114" s="17">
        <f t="shared" si="8"/>
        <v>2160</v>
      </c>
      <c r="V114" s="12" t="s">
        <v>40</v>
      </c>
      <c r="W114" s="12">
        <v>13</v>
      </c>
    </row>
    <row r="115" spans="1:23" s="12" customFormat="1" ht="30.75" customHeight="1" thickTop="1" thickBot="1" x14ac:dyDescent="0.35">
      <c r="A115"/>
      <c r="D115" s="10"/>
      <c r="G115" s="13">
        <f t="shared" si="9"/>
        <v>114</v>
      </c>
      <c r="H115" s="18">
        <v>45686</v>
      </c>
      <c r="I115" s="15" t="s">
        <v>24</v>
      </c>
      <c r="J115" s="15">
        <v>3050.4</v>
      </c>
      <c r="K115" s="15">
        <v>10</v>
      </c>
      <c r="L115" s="15">
        <v>2887.38</v>
      </c>
      <c r="M115" s="16">
        <f t="shared" si="5"/>
        <v>288.738</v>
      </c>
      <c r="N115" s="15">
        <v>0</v>
      </c>
      <c r="O115" s="16">
        <f t="shared" si="6"/>
        <v>3050.4</v>
      </c>
      <c r="P115" s="15" t="s">
        <v>18</v>
      </c>
      <c r="Q115" s="15">
        <v>0.06</v>
      </c>
      <c r="R115" s="16">
        <f t="shared" si="7"/>
        <v>183.024</v>
      </c>
      <c r="S115" s="15">
        <v>0</v>
      </c>
      <c r="T115" s="15">
        <v>0</v>
      </c>
      <c r="U115" s="17">
        <f t="shared" si="8"/>
        <v>183.024</v>
      </c>
      <c r="V115" s="12" t="s">
        <v>40</v>
      </c>
      <c r="W115" s="12">
        <v>13</v>
      </c>
    </row>
    <row r="116" spans="1:23" s="12" customFormat="1" ht="30.75" customHeight="1" thickTop="1" thickBot="1" x14ac:dyDescent="0.35">
      <c r="A116"/>
      <c r="D116" s="10"/>
      <c r="G116" s="13">
        <f t="shared" si="9"/>
        <v>115</v>
      </c>
      <c r="H116" s="18">
        <v>45686</v>
      </c>
      <c r="I116" s="15" t="s">
        <v>31</v>
      </c>
      <c r="J116" s="15">
        <v>2700</v>
      </c>
      <c r="K116" s="15">
        <v>15</v>
      </c>
      <c r="L116" s="15">
        <v>2538</v>
      </c>
      <c r="M116" s="16">
        <f t="shared" si="5"/>
        <v>169.2</v>
      </c>
      <c r="N116" s="15">
        <v>0</v>
      </c>
      <c r="O116" s="16">
        <f t="shared" si="6"/>
        <v>2700</v>
      </c>
      <c r="P116" s="15" t="s">
        <v>18</v>
      </c>
      <c r="Q116" s="15">
        <v>0.06</v>
      </c>
      <c r="R116" s="16">
        <f t="shared" si="7"/>
        <v>162</v>
      </c>
      <c r="S116" s="15">
        <v>0</v>
      </c>
      <c r="T116" s="15">
        <v>0</v>
      </c>
      <c r="U116" s="17">
        <f t="shared" si="8"/>
        <v>162</v>
      </c>
      <c r="V116" s="12" t="s">
        <v>40</v>
      </c>
      <c r="W116" s="12">
        <v>13</v>
      </c>
    </row>
    <row r="117" spans="1:23" s="12" customFormat="1" ht="30.75" customHeight="1" thickTop="1" thickBot="1" x14ac:dyDescent="0.35">
      <c r="A117"/>
      <c r="D117" s="10"/>
      <c r="G117" s="13">
        <f t="shared" si="9"/>
        <v>116</v>
      </c>
      <c r="H117" s="18">
        <v>45686</v>
      </c>
      <c r="I117" s="15" t="s">
        <v>35</v>
      </c>
      <c r="J117" s="15">
        <v>5256</v>
      </c>
      <c r="K117" s="15">
        <v>30</v>
      </c>
      <c r="L117" s="15">
        <v>4940.6400000000003</v>
      </c>
      <c r="M117" s="16">
        <f t="shared" si="5"/>
        <v>164.68800000000002</v>
      </c>
      <c r="N117" s="15">
        <v>0</v>
      </c>
      <c r="O117" s="16">
        <f t="shared" si="6"/>
        <v>5256</v>
      </c>
      <c r="P117" s="15" t="s">
        <v>18</v>
      </c>
      <c r="Q117" s="15">
        <v>0.06</v>
      </c>
      <c r="R117" s="16">
        <f t="shared" si="7"/>
        <v>315.36</v>
      </c>
      <c r="S117" s="15">
        <v>0</v>
      </c>
      <c r="T117" s="15">
        <v>0</v>
      </c>
      <c r="U117" s="17">
        <f t="shared" si="8"/>
        <v>315.36</v>
      </c>
      <c r="V117" s="12" t="s">
        <v>40</v>
      </c>
      <c r="W117" s="12">
        <v>13</v>
      </c>
    </row>
    <row r="118" spans="1:23" s="12" customFormat="1" ht="30.75" customHeight="1" thickTop="1" thickBot="1" x14ac:dyDescent="0.35">
      <c r="A118"/>
      <c r="D118" s="10"/>
      <c r="G118" s="13">
        <f t="shared" si="9"/>
        <v>117</v>
      </c>
      <c r="H118" s="18">
        <v>45689</v>
      </c>
      <c r="I118" s="15" t="s">
        <v>30</v>
      </c>
      <c r="J118" s="15">
        <v>57024</v>
      </c>
      <c r="K118" s="15">
        <v>200</v>
      </c>
      <c r="L118" s="15">
        <v>45579.28</v>
      </c>
      <c r="M118" s="16">
        <f t="shared" si="5"/>
        <v>227.8964</v>
      </c>
      <c r="N118" s="15">
        <v>0</v>
      </c>
      <c r="O118" s="16">
        <f t="shared" si="6"/>
        <v>57024</v>
      </c>
      <c r="P118" s="15" t="s">
        <v>18</v>
      </c>
      <c r="Q118" s="15">
        <v>0.06</v>
      </c>
      <c r="R118" s="16">
        <f t="shared" si="7"/>
        <v>3421.44</v>
      </c>
      <c r="S118" s="15">
        <v>0</v>
      </c>
      <c r="T118" s="15">
        <v>0</v>
      </c>
      <c r="U118" s="17">
        <f t="shared" si="8"/>
        <v>3421.44</v>
      </c>
      <c r="V118" s="12" t="s">
        <v>40</v>
      </c>
      <c r="W118" s="12">
        <v>14</v>
      </c>
    </row>
    <row r="119" spans="1:23" s="12" customFormat="1" ht="30.75" customHeight="1" thickTop="1" thickBot="1" x14ac:dyDescent="0.35">
      <c r="A119"/>
      <c r="D119" s="10"/>
      <c r="G119" s="13">
        <f t="shared" si="9"/>
        <v>118</v>
      </c>
      <c r="H119" s="18">
        <v>45689</v>
      </c>
      <c r="I119" s="15" t="s">
        <v>17</v>
      </c>
      <c r="J119" s="15">
        <v>42768</v>
      </c>
      <c r="K119" s="15">
        <v>150</v>
      </c>
      <c r="L119" s="15">
        <v>34184.46</v>
      </c>
      <c r="M119" s="16">
        <f t="shared" si="5"/>
        <v>227.8964</v>
      </c>
      <c r="N119" s="15">
        <v>0</v>
      </c>
      <c r="O119" s="16">
        <f t="shared" si="6"/>
        <v>42768</v>
      </c>
      <c r="P119" s="15" t="s">
        <v>18</v>
      </c>
      <c r="Q119" s="15">
        <v>0.06</v>
      </c>
      <c r="R119" s="16">
        <f t="shared" si="7"/>
        <v>2566.08</v>
      </c>
      <c r="S119" s="15">
        <v>0</v>
      </c>
      <c r="T119" s="15">
        <v>0</v>
      </c>
      <c r="U119" s="17">
        <f t="shared" si="8"/>
        <v>2566.08</v>
      </c>
      <c r="V119" s="12" t="s">
        <v>40</v>
      </c>
      <c r="W119" s="12">
        <v>14</v>
      </c>
    </row>
    <row r="120" spans="1:23" s="12" customFormat="1" ht="30.75" customHeight="1" thickTop="1" thickBot="1" x14ac:dyDescent="0.35">
      <c r="A120"/>
      <c r="D120" s="10"/>
      <c r="G120" s="13">
        <f t="shared" si="9"/>
        <v>119</v>
      </c>
      <c r="H120" s="18">
        <v>45689</v>
      </c>
      <c r="I120" s="15" t="s">
        <v>35</v>
      </c>
      <c r="J120" s="15">
        <v>5256</v>
      </c>
      <c r="K120" s="15">
        <v>30</v>
      </c>
      <c r="L120" s="15">
        <v>4940.6400000000003</v>
      </c>
      <c r="M120" s="16">
        <f t="shared" si="5"/>
        <v>164.68800000000002</v>
      </c>
      <c r="N120" s="15">
        <v>0</v>
      </c>
      <c r="O120" s="16">
        <f t="shared" si="6"/>
        <v>5256</v>
      </c>
      <c r="P120" s="15" t="s">
        <v>18</v>
      </c>
      <c r="Q120" s="15">
        <v>0.06</v>
      </c>
      <c r="R120" s="16">
        <f t="shared" si="7"/>
        <v>315.36</v>
      </c>
      <c r="S120" s="15">
        <v>0</v>
      </c>
      <c r="T120" s="15">
        <v>0</v>
      </c>
      <c r="U120" s="17">
        <f t="shared" si="8"/>
        <v>315.36</v>
      </c>
      <c r="V120" s="12" t="s">
        <v>40</v>
      </c>
      <c r="W120" s="12">
        <v>14</v>
      </c>
    </row>
    <row r="121" spans="1:23" s="12" customFormat="1" ht="30.75" customHeight="1" thickTop="1" thickBot="1" x14ac:dyDescent="0.35">
      <c r="A121"/>
      <c r="D121" s="10"/>
      <c r="G121" s="13">
        <f t="shared" si="9"/>
        <v>120</v>
      </c>
      <c r="H121" s="18">
        <v>45689</v>
      </c>
      <c r="I121" s="15" t="s">
        <v>20</v>
      </c>
      <c r="J121" s="15">
        <v>576</v>
      </c>
      <c r="K121" s="15">
        <v>2</v>
      </c>
      <c r="L121" s="15">
        <v>541.44000000000005</v>
      </c>
      <c r="M121" s="16">
        <f t="shared" si="5"/>
        <v>270.72000000000003</v>
      </c>
      <c r="N121" s="15">
        <v>0</v>
      </c>
      <c r="O121" s="16">
        <f t="shared" si="6"/>
        <v>576</v>
      </c>
      <c r="P121" s="15" t="s">
        <v>18</v>
      </c>
      <c r="Q121" s="15">
        <v>0.06</v>
      </c>
      <c r="R121" s="16">
        <f t="shared" si="7"/>
        <v>34.56</v>
      </c>
      <c r="S121" s="15">
        <v>0</v>
      </c>
      <c r="T121" s="15">
        <v>0</v>
      </c>
      <c r="U121" s="17">
        <f t="shared" si="8"/>
        <v>34.56</v>
      </c>
      <c r="V121" s="12" t="s">
        <v>40</v>
      </c>
      <c r="W121" s="12">
        <v>14</v>
      </c>
    </row>
    <row r="122" spans="1:23" s="12" customFormat="1" ht="30.75" customHeight="1" thickTop="1" thickBot="1" x14ac:dyDescent="0.35">
      <c r="A122"/>
      <c r="D122" s="10"/>
      <c r="G122" s="13">
        <f t="shared" si="9"/>
        <v>121</v>
      </c>
      <c r="H122" s="18">
        <v>45689</v>
      </c>
      <c r="I122" s="15" t="s">
        <v>23</v>
      </c>
      <c r="J122" s="15">
        <v>27000</v>
      </c>
      <c r="K122" s="15">
        <v>150</v>
      </c>
      <c r="L122" s="15">
        <v>25380</v>
      </c>
      <c r="M122" s="16">
        <f t="shared" si="5"/>
        <v>169.2</v>
      </c>
      <c r="N122" s="15">
        <v>0</v>
      </c>
      <c r="O122" s="16">
        <f t="shared" si="6"/>
        <v>27000</v>
      </c>
      <c r="P122" s="15" t="s">
        <v>18</v>
      </c>
      <c r="Q122" s="15">
        <v>0.06</v>
      </c>
      <c r="R122" s="16">
        <f t="shared" si="7"/>
        <v>1620</v>
      </c>
      <c r="S122" s="15">
        <v>0</v>
      </c>
      <c r="T122" s="15">
        <v>0</v>
      </c>
      <c r="U122" s="17">
        <f t="shared" si="8"/>
        <v>1620</v>
      </c>
      <c r="V122" s="12" t="s">
        <v>40</v>
      </c>
      <c r="W122" s="12">
        <v>14</v>
      </c>
    </row>
    <row r="123" spans="1:23" s="12" customFormat="1" ht="30.75" customHeight="1" thickTop="1" thickBot="1" x14ac:dyDescent="0.35">
      <c r="A123"/>
      <c r="D123" s="10"/>
      <c r="G123" s="13">
        <f t="shared" si="9"/>
        <v>122</v>
      </c>
      <c r="H123" s="18">
        <v>45689</v>
      </c>
      <c r="I123" s="15" t="s">
        <v>24</v>
      </c>
      <c r="J123" s="15">
        <v>3050.4</v>
      </c>
      <c r="K123" s="15">
        <v>10</v>
      </c>
      <c r="L123" s="15">
        <v>2867.38</v>
      </c>
      <c r="M123" s="16">
        <f t="shared" si="5"/>
        <v>286.738</v>
      </c>
      <c r="N123" s="15">
        <v>0</v>
      </c>
      <c r="O123" s="16">
        <f t="shared" si="6"/>
        <v>3050.4</v>
      </c>
      <c r="P123" s="15" t="s">
        <v>18</v>
      </c>
      <c r="Q123" s="15">
        <v>0.06</v>
      </c>
      <c r="R123" s="16">
        <f t="shared" si="7"/>
        <v>183.024</v>
      </c>
      <c r="S123" s="15">
        <v>0</v>
      </c>
      <c r="T123" s="15">
        <v>0</v>
      </c>
      <c r="U123" s="17">
        <f t="shared" si="8"/>
        <v>183.024</v>
      </c>
      <c r="V123" s="12" t="s">
        <v>40</v>
      </c>
      <c r="W123" s="12">
        <v>14</v>
      </c>
    </row>
    <row r="124" spans="1:23" s="12" customFormat="1" ht="30.75" customHeight="1" thickTop="1" thickBot="1" x14ac:dyDescent="0.35">
      <c r="A124"/>
      <c r="D124" s="10"/>
      <c r="G124" s="13">
        <f t="shared" si="9"/>
        <v>123</v>
      </c>
      <c r="H124" s="18">
        <v>45689</v>
      </c>
      <c r="I124" s="15" t="s">
        <v>31</v>
      </c>
      <c r="J124" s="15">
        <v>1800</v>
      </c>
      <c r="K124" s="15">
        <v>10</v>
      </c>
      <c r="L124" s="15">
        <v>1692</v>
      </c>
      <c r="M124" s="16">
        <f t="shared" si="5"/>
        <v>169.2</v>
      </c>
      <c r="N124" s="15">
        <v>0</v>
      </c>
      <c r="O124" s="16">
        <f t="shared" si="6"/>
        <v>1800</v>
      </c>
      <c r="P124" s="15" t="s">
        <v>18</v>
      </c>
      <c r="Q124" s="15">
        <v>0.06</v>
      </c>
      <c r="R124" s="16">
        <f t="shared" si="7"/>
        <v>108</v>
      </c>
      <c r="S124" s="15">
        <v>0</v>
      </c>
      <c r="T124" s="15">
        <v>0</v>
      </c>
      <c r="U124" s="17">
        <f t="shared" si="8"/>
        <v>108</v>
      </c>
      <c r="V124" s="12" t="s">
        <v>40</v>
      </c>
      <c r="W124" s="12">
        <v>14</v>
      </c>
    </row>
    <row r="125" spans="1:23" s="12" customFormat="1" ht="30.75" customHeight="1" thickTop="1" thickBot="1" x14ac:dyDescent="0.35">
      <c r="A125"/>
      <c r="D125" s="10"/>
      <c r="G125" s="13">
        <f t="shared" si="9"/>
        <v>124</v>
      </c>
      <c r="H125" s="18">
        <v>45689</v>
      </c>
      <c r="I125" s="15" t="s">
        <v>25</v>
      </c>
      <c r="J125" s="15">
        <v>36012</v>
      </c>
      <c r="K125" s="15">
        <v>150</v>
      </c>
      <c r="L125" s="15">
        <v>28532.31</v>
      </c>
      <c r="M125" s="16">
        <f t="shared" si="5"/>
        <v>190.21540000000002</v>
      </c>
      <c r="N125" s="15">
        <v>0</v>
      </c>
      <c r="O125" s="16">
        <f t="shared" si="6"/>
        <v>36012</v>
      </c>
      <c r="P125" s="15" t="s">
        <v>26</v>
      </c>
      <c r="Q125" s="15">
        <v>0.02</v>
      </c>
      <c r="R125" s="16">
        <f t="shared" si="7"/>
        <v>720.24</v>
      </c>
      <c r="S125" s="15">
        <v>0</v>
      </c>
      <c r="T125" s="15">
        <v>0</v>
      </c>
      <c r="U125" s="17">
        <f t="shared" si="8"/>
        <v>720.24</v>
      </c>
      <c r="V125" s="12" t="s">
        <v>40</v>
      </c>
      <c r="W125" s="12">
        <v>124</v>
      </c>
    </row>
    <row r="126" spans="1:23" s="12" customFormat="1" ht="30.75" customHeight="1" thickTop="1" thickBot="1" x14ac:dyDescent="0.35">
      <c r="A126"/>
      <c r="D126" s="10"/>
      <c r="G126" s="13">
        <f t="shared" si="9"/>
        <v>125</v>
      </c>
      <c r="H126" s="18">
        <v>45689</v>
      </c>
      <c r="I126" s="15" t="s">
        <v>41</v>
      </c>
      <c r="J126" s="15">
        <v>20176.2</v>
      </c>
      <c r="K126" s="15">
        <v>150</v>
      </c>
      <c r="L126" s="15">
        <v>16857.22</v>
      </c>
      <c r="M126" s="16">
        <f t="shared" si="5"/>
        <v>112.38146666666667</v>
      </c>
      <c r="N126" s="15">
        <v>0</v>
      </c>
      <c r="O126" s="16">
        <f t="shared" si="6"/>
        <v>20176.2</v>
      </c>
      <c r="P126" s="15" t="s">
        <v>26</v>
      </c>
      <c r="Q126" s="15">
        <v>0.02</v>
      </c>
      <c r="R126" s="16">
        <f t="shared" si="7"/>
        <v>403.524</v>
      </c>
      <c r="S126" s="15">
        <v>0</v>
      </c>
      <c r="T126" s="15">
        <v>0</v>
      </c>
      <c r="U126" s="17">
        <f t="shared" si="8"/>
        <v>403.524</v>
      </c>
      <c r="V126" s="12" t="s">
        <v>40</v>
      </c>
      <c r="W126" s="12">
        <v>124</v>
      </c>
    </row>
    <row r="127" spans="1:23" s="12" customFormat="1" ht="30.75" customHeight="1" thickTop="1" thickBot="1" x14ac:dyDescent="0.35">
      <c r="A127"/>
      <c r="D127" s="10"/>
      <c r="G127" s="13">
        <f t="shared" si="9"/>
        <v>126</v>
      </c>
      <c r="H127" s="18">
        <v>45689</v>
      </c>
      <c r="I127" s="15" t="s">
        <v>42</v>
      </c>
      <c r="J127" s="15">
        <v>1816.32</v>
      </c>
      <c r="K127" s="15">
        <v>4</v>
      </c>
      <c r="L127" s="15">
        <v>1743.67</v>
      </c>
      <c r="M127" s="16">
        <f t="shared" si="5"/>
        <v>435.91750000000002</v>
      </c>
      <c r="N127" s="15">
        <v>0</v>
      </c>
      <c r="O127" s="16">
        <f t="shared" si="6"/>
        <v>1816.32</v>
      </c>
      <c r="P127" s="15" t="s">
        <v>29</v>
      </c>
      <c r="Q127" s="15">
        <v>0.02</v>
      </c>
      <c r="R127" s="16">
        <f t="shared" si="7"/>
        <v>36.3264</v>
      </c>
      <c r="S127" s="15">
        <v>0</v>
      </c>
      <c r="T127" s="15">
        <v>0</v>
      </c>
      <c r="U127" s="17">
        <f t="shared" si="8"/>
        <v>36.3264</v>
      </c>
      <c r="V127" s="12" t="s">
        <v>40</v>
      </c>
      <c r="W127" s="12">
        <v>124</v>
      </c>
    </row>
    <row r="128" spans="1:23" s="12" customFormat="1" ht="30.75" customHeight="1" thickTop="1" thickBot="1" x14ac:dyDescent="0.35">
      <c r="A128"/>
      <c r="D128" s="10"/>
      <c r="G128" s="13">
        <f t="shared" si="9"/>
        <v>127</v>
      </c>
      <c r="H128" s="18">
        <v>45689</v>
      </c>
      <c r="I128" s="15" t="s">
        <v>43</v>
      </c>
      <c r="J128" s="15">
        <v>2790</v>
      </c>
      <c r="K128" s="15">
        <v>6</v>
      </c>
      <c r="L128" s="15">
        <v>2678.4</v>
      </c>
      <c r="M128" s="16">
        <f t="shared" si="5"/>
        <v>446.40000000000003</v>
      </c>
      <c r="N128" s="15">
        <v>0</v>
      </c>
      <c r="O128" s="16">
        <f t="shared" si="6"/>
        <v>2790</v>
      </c>
      <c r="P128" s="15" t="s">
        <v>29</v>
      </c>
      <c r="Q128" s="15">
        <v>0.02</v>
      </c>
      <c r="R128" s="16">
        <f t="shared" si="7"/>
        <v>55.800000000000004</v>
      </c>
      <c r="S128" s="15">
        <v>0</v>
      </c>
      <c r="T128" s="15">
        <v>0</v>
      </c>
      <c r="U128" s="17">
        <f t="shared" si="8"/>
        <v>55.800000000000004</v>
      </c>
      <c r="V128" s="12" t="s">
        <v>40</v>
      </c>
      <c r="W128" s="12">
        <v>124</v>
      </c>
    </row>
    <row r="129" spans="1:23" s="12" customFormat="1" ht="30.75" customHeight="1" thickTop="1" thickBot="1" x14ac:dyDescent="0.35">
      <c r="A129"/>
      <c r="D129" s="10"/>
      <c r="G129" s="13">
        <f t="shared" si="9"/>
        <v>128</v>
      </c>
      <c r="H129" s="18">
        <v>45689</v>
      </c>
      <c r="I129" s="15" t="s">
        <v>44</v>
      </c>
      <c r="J129" s="15">
        <v>3456</v>
      </c>
      <c r="K129" s="15">
        <v>3</v>
      </c>
      <c r="L129" s="15">
        <v>3248.64</v>
      </c>
      <c r="M129" s="16">
        <f t="shared" si="5"/>
        <v>1082.8799999999999</v>
      </c>
      <c r="N129" s="15">
        <v>0</v>
      </c>
      <c r="O129" s="16">
        <f t="shared" si="6"/>
        <v>3456</v>
      </c>
      <c r="P129" s="15" t="s">
        <v>18</v>
      </c>
      <c r="Q129" s="15">
        <v>0.06</v>
      </c>
      <c r="R129" s="16">
        <f t="shared" si="7"/>
        <v>207.35999999999999</v>
      </c>
      <c r="S129" s="15">
        <v>0</v>
      </c>
      <c r="T129" s="15">
        <v>0</v>
      </c>
      <c r="U129" s="17">
        <f t="shared" si="8"/>
        <v>207.35999999999999</v>
      </c>
      <c r="V129" s="12" t="s">
        <v>40</v>
      </c>
      <c r="W129" s="12">
        <v>124</v>
      </c>
    </row>
    <row r="130" spans="1:23" s="12" customFormat="1" ht="30.75" customHeight="1" thickTop="1" thickBot="1" x14ac:dyDescent="0.35">
      <c r="A130"/>
      <c r="D130" s="10"/>
      <c r="G130" s="13">
        <f t="shared" si="9"/>
        <v>129</v>
      </c>
      <c r="H130" s="18">
        <v>45691</v>
      </c>
      <c r="I130" s="15" t="s">
        <v>30</v>
      </c>
      <c r="J130" s="15">
        <v>57024</v>
      </c>
      <c r="K130" s="15">
        <v>200</v>
      </c>
      <c r="L130" s="15">
        <v>45579.28</v>
      </c>
      <c r="M130" s="16">
        <f t="shared" ref="M130:M193" si="10">IFERROR(L130/K130,"")</f>
        <v>227.8964</v>
      </c>
      <c r="N130" s="15">
        <v>0</v>
      </c>
      <c r="O130" s="16">
        <f t="shared" ref="O130:O193" si="11">J130-N130</f>
        <v>57024</v>
      </c>
      <c r="P130" s="15" t="s">
        <v>18</v>
      </c>
      <c r="Q130" s="15">
        <v>0.06</v>
      </c>
      <c r="R130" s="16">
        <f t="shared" ref="R130:R193" si="12">J130*Q130</f>
        <v>3421.44</v>
      </c>
      <c r="S130" s="15">
        <v>0</v>
      </c>
      <c r="T130" s="15">
        <v>0</v>
      </c>
      <c r="U130" s="17">
        <f t="shared" ref="U130:U193" si="13">T130+S130+R130</f>
        <v>3421.44</v>
      </c>
      <c r="V130" s="12" t="s">
        <v>40</v>
      </c>
      <c r="W130" s="12">
        <v>15</v>
      </c>
    </row>
    <row r="131" spans="1:23" s="12" customFormat="1" ht="30.75" customHeight="1" thickTop="1" thickBot="1" x14ac:dyDescent="0.35">
      <c r="A131"/>
      <c r="D131" s="10"/>
      <c r="G131" s="13">
        <f t="shared" si="9"/>
        <v>130</v>
      </c>
      <c r="H131" s="18">
        <v>45691</v>
      </c>
      <c r="I131" s="15" t="s">
        <v>17</v>
      </c>
      <c r="J131" s="15">
        <v>42768</v>
      </c>
      <c r="K131" s="15">
        <v>150</v>
      </c>
      <c r="L131" s="15">
        <v>34184.46</v>
      </c>
      <c r="M131" s="16">
        <f t="shared" si="10"/>
        <v>227.8964</v>
      </c>
      <c r="N131" s="15">
        <v>0</v>
      </c>
      <c r="O131" s="16">
        <f t="shared" si="11"/>
        <v>42768</v>
      </c>
      <c r="P131" s="15" t="s">
        <v>18</v>
      </c>
      <c r="Q131" s="15">
        <v>0.06</v>
      </c>
      <c r="R131" s="16">
        <f t="shared" si="12"/>
        <v>2566.08</v>
      </c>
      <c r="S131" s="15">
        <v>0</v>
      </c>
      <c r="T131" s="15">
        <v>0</v>
      </c>
      <c r="U131" s="17">
        <f t="shared" si="13"/>
        <v>2566.08</v>
      </c>
      <c r="V131" s="12" t="s">
        <v>40</v>
      </c>
      <c r="W131" s="12">
        <v>15</v>
      </c>
    </row>
    <row r="132" spans="1:23" s="12" customFormat="1" ht="30.75" customHeight="1" thickTop="1" thickBot="1" x14ac:dyDescent="0.35">
      <c r="A132" s="28" t="s">
        <v>37</v>
      </c>
      <c r="D132" s="10"/>
      <c r="G132" s="13">
        <f t="shared" ref="G132:G195" si="14">G131+1</f>
        <v>131</v>
      </c>
      <c r="H132" s="18">
        <v>45691</v>
      </c>
      <c r="I132" s="15" t="s">
        <v>35</v>
      </c>
      <c r="J132" s="15">
        <v>7008</v>
      </c>
      <c r="K132" s="15">
        <v>40</v>
      </c>
      <c r="L132" s="15">
        <v>6587.52</v>
      </c>
      <c r="M132" s="16">
        <f t="shared" si="10"/>
        <v>164.68800000000002</v>
      </c>
      <c r="N132" s="15">
        <v>0</v>
      </c>
      <c r="O132" s="16">
        <f t="shared" si="11"/>
        <v>7008</v>
      </c>
      <c r="P132" s="15" t="s">
        <v>18</v>
      </c>
      <c r="Q132" s="15">
        <v>0.06</v>
      </c>
      <c r="R132" s="16">
        <f t="shared" si="12"/>
        <v>420.47999999999996</v>
      </c>
      <c r="S132" s="15">
        <v>0</v>
      </c>
      <c r="T132" s="15">
        <v>0</v>
      </c>
      <c r="U132" s="17">
        <f t="shared" si="13"/>
        <v>420.47999999999996</v>
      </c>
      <c r="V132" s="12" t="s">
        <v>40</v>
      </c>
      <c r="W132" s="12">
        <v>15</v>
      </c>
    </row>
    <row r="133" spans="1:23" s="12" customFormat="1" ht="30.75" customHeight="1" thickTop="1" thickBot="1" x14ac:dyDescent="0.35">
      <c r="A133" s="28" t="s">
        <v>28</v>
      </c>
      <c r="D133" s="10"/>
      <c r="G133" s="13">
        <f t="shared" si="14"/>
        <v>132</v>
      </c>
      <c r="H133" s="18">
        <v>45691</v>
      </c>
      <c r="I133" s="15" t="s">
        <v>20</v>
      </c>
      <c r="J133" s="15">
        <v>576</v>
      </c>
      <c r="K133" s="15">
        <v>2</v>
      </c>
      <c r="L133" s="15">
        <v>541.44000000000005</v>
      </c>
      <c r="M133" s="16">
        <f t="shared" si="10"/>
        <v>270.72000000000003</v>
      </c>
      <c r="N133" s="15">
        <v>0</v>
      </c>
      <c r="O133" s="16">
        <f t="shared" si="11"/>
        <v>576</v>
      </c>
      <c r="P133" s="15" t="s">
        <v>18</v>
      </c>
      <c r="Q133" s="15">
        <v>0.06</v>
      </c>
      <c r="R133" s="16">
        <f t="shared" si="12"/>
        <v>34.56</v>
      </c>
      <c r="S133" s="15">
        <v>0</v>
      </c>
      <c r="T133" s="15">
        <v>0</v>
      </c>
      <c r="U133" s="17">
        <f t="shared" si="13"/>
        <v>34.56</v>
      </c>
      <c r="V133" s="12" t="s">
        <v>40</v>
      </c>
      <c r="W133" s="12">
        <v>15</v>
      </c>
    </row>
    <row r="134" spans="1:23" s="12" customFormat="1" ht="30.75" customHeight="1" thickTop="1" thickBot="1" x14ac:dyDescent="0.35">
      <c r="A134" s="28" t="s">
        <v>89</v>
      </c>
      <c r="D134" s="10"/>
      <c r="G134" s="13">
        <f t="shared" si="14"/>
        <v>133</v>
      </c>
      <c r="H134" s="18">
        <v>45691</v>
      </c>
      <c r="I134" s="15" t="s">
        <v>21</v>
      </c>
      <c r="J134" s="15">
        <v>2232</v>
      </c>
      <c r="K134" s="15">
        <v>10</v>
      </c>
      <c r="L134" s="15">
        <v>2098.08</v>
      </c>
      <c r="M134" s="16">
        <f t="shared" si="10"/>
        <v>209.80799999999999</v>
      </c>
      <c r="N134" s="15">
        <v>0</v>
      </c>
      <c r="O134" s="16">
        <f t="shared" si="11"/>
        <v>2232</v>
      </c>
      <c r="P134" s="15" t="s">
        <v>18</v>
      </c>
      <c r="Q134" s="15">
        <v>0.06</v>
      </c>
      <c r="R134" s="16">
        <f t="shared" si="12"/>
        <v>133.91999999999999</v>
      </c>
      <c r="S134" s="15">
        <v>0</v>
      </c>
      <c r="T134" s="15">
        <v>0</v>
      </c>
      <c r="U134" s="17">
        <f t="shared" si="13"/>
        <v>133.91999999999999</v>
      </c>
      <c r="V134" s="12" t="s">
        <v>40</v>
      </c>
      <c r="W134" s="12">
        <v>15</v>
      </c>
    </row>
    <row r="135" spans="1:23" s="12" customFormat="1" ht="30.75" customHeight="1" thickTop="1" thickBot="1" x14ac:dyDescent="0.35">
      <c r="A135" s="29" t="s">
        <v>42</v>
      </c>
      <c r="D135" s="10"/>
      <c r="G135" s="13">
        <f t="shared" si="14"/>
        <v>134</v>
      </c>
      <c r="H135" s="18">
        <v>45691</v>
      </c>
      <c r="I135" s="15" t="s">
        <v>22</v>
      </c>
      <c r="J135" s="15">
        <v>2692.5</v>
      </c>
      <c r="K135" s="15">
        <v>10</v>
      </c>
      <c r="L135" s="15">
        <v>2530.9499999999998</v>
      </c>
      <c r="M135" s="16">
        <f t="shared" si="10"/>
        <v>253.09499999999997</v>
      </c>
      <c r="N135" s="15">
        <v>0</v>
      </c>
      <c r="O135" s="16">
        <f t="shared" si="11"/>
        <v>2692.5</v>
      </c>
      <c r="P135" s="15" t="s">
        <v>18</v>
      </c>
      <c r="Q135" s="15">
        <v>0.06</v>
      </c>
      <c r="R135" s="16">
        <f t="shared" si="12"/>
        <v>161.54999999999998</v>
      </c>
      <c r="S135" s="15">
        <v>0</v>
      </c>
      <c r="T135" s="15">
        <v>0</v>
      </c>
      <c r="U135" s="17">
        <f t="shared" si="13"/>
        <v>161.54999999999998</v>
      </c>
      <c r="V135" s="12" t="s">
        <v>40</v>
      </c>
      <c r="W135" s="12">
        <v>15</v>
      </c>
    </row>
    <row r="136" spans="1:23" s="12" customFormat="1" ht="30.75" customHeight="1" thickTop="1" thickBot="1" x14ac:dyDescent="0.35">
      <c r="A136" s="28" t="s">
        <v>57</v>
      </c>
      <c r="D136" s="10"/>
      <c r="G136" s="13">
        <f t="shared" si="14"/>
        <v>135</v>
      </c>
      <c r="H136" s="18">
        <v>45691</v>
      </c>
      <c r="I136" s="15" t="s">
        <v>23</v>
      </c>
      <c r="J136" s="15">
        <v>27000</v>
      </c>
      <c r="K136" s="15">
        <v>150</v>
      </c>
      <c r="L136" s="15">
        <v>25380</v>
      </c>
      <c r="M136" s="16">
        <f t="shared" si="10"/>
        <v>169.2</v>
      </c>
      <c r="N136" s="15">
        <v>0</v>
      </c>
      <c r="O136" s="16">
        <f t="shared" si="11"/>
        <v>27000</v>
      </c>
      <c r="P136" s="15" t="s">
        <v>18</v>
      </c>
      <c r="Q136" s="15">
        <v>0.06</v>
      </c>
      <c r="R136" s="16">
        <f t="shared" si="12"/>
        <v>1620</v>
      </c>
      <c r="S136" s="15">
        <v>0</v>
      </c>
      <c r="T136" s="15">
        <v>0</v>
      </c>
      <c r="U136" s="17">
        <f t="shared" si="13"/>
        <v>1620</v>
      </c>
      <c r="V136" s="12" t="s">
        <v>40</v>
      </c>
      <c r="W136" s="12">
        <v>15</v>
      </c>
    </row>
    <row r="137" spans="1:23" s="12" customFormat="1" ht="30.75" customHeight="1" thickTop="1" thickBot="1" x14ac:dyDescent="0.35">
      <c r="A137" s="29" t="s">
        <v>43</v>
      </c>
      <c r="D137" s="10"/>
      <c r="G137" s="13">
        <f t="shared" si="14"/>
        <v>136</v>
      </c>
      <c r="H137" s="18">
        <v>45691</v>
      </c>
      <c r="I137" s="15" t="s">
        <v>24</v>
      </c>
      <c r="J137" s="15">
        <v>6100.8</v>
      </c>
      <c r="K137" s="15">
        <v>20</v>
      </c>
      <c r="L137" s="15">
        <v>5734.75</v>
      </c>
      <c r="M137" s="16">
        <f t="shared" si="10"/>
        <v>286.73750000000001</v>
      </c>
      <c r="N137" s="15">
        <v>0</v>
      </c>
      <c r="O137" s="16">
        <f t="shared" si="11"/>
        <v>6100.8</v>
      </c>
      <c r="P137" s="15" t="s">
        <v>18</v>
      </c>
      <c r="Q137" s="15">
        <v>0.06</v>
      </c>
      <c r="R137" s="16">
        <f t="shared" si="12"/>
        <v>366.048</v>
      </c>
      <c r="S137" s="15">
        <v>0</v>
      </c>
      <c r="T137" s="15">
        <v>0</v>
      </c>
      <c r="U137" s="17">
        <f t="shared" si="13"/>
        <v>366.048</v>
      </c>
      <c r="V137" s="12" t="s">
        <v>40</v>
      </c>
      <c r="W137" s="12">
        <v>15</v>
      </c>
    </row>
    <row r="138" spans="1:23" s="12" customFormat="1" ht="30.75" customHeight="1" thickTop="1" thickBot="1" x14ac:dyDescent="0.35">
      <c r="A138" s="29" t="s">
        <v>90</v>
      </c>
      <c r="D138" s="10"/>
      <c r="G138" s="13">
        <f t="shared" si="14"/>
        <v>137</v>
      </c>
      <c r="H138" s="18">
        <v>45691</v>
      </c>
      <c r="I138" s="15" t="s">
        <v>31</v>
      </c>
      <c r="J138" s="15">
        <v>5400</v>
      </c>
      <c r="K138" s="15">
        <v>30</v>
      </c>
      <c r="L138" s="15">
        <v>5076</v>
      </c>
      <c r="M138" s="16">
        <f t="shared" si="10"/>
        <v>169.2</v>
      </c>
      <c r="N138" s="15">
        <v>0</v>
      </c>
      <c r="O138" s="16">
        <f t="shared" si="11"/>
        <v>5400</v>
      </c>
      <c r="P138" s="15" t="s">
        <v>18</v>
      </c>
      <c r="Q138" s="15">
        <v>0.06</v>
      </c>
      <c r="R138" s="16">
        <f t="shared" si="12"/>
        <v>324</v>
      </c>
      <c r="S138" s="15">
        <v>0</v>
      </c>
      <c r="T138" s="15">
        <v>0</v>
      </c>
      <c r="U138" s="17">
        <f t="shared" si="13"/>
        <v>324</v>
      </c>
      <c r="V138" s="12" t="s">
        <v>40</v>
      </c>
      <c r="W138" s="12">
        <v>15</v>
      </c>
    </row>
    <row r="139" spans="1:23" s="12" customFormat="1" ht="30.75" customHeight="1" thickTop="1" thickBot="1" x14ac:dyDescent="0.35">
      <c r="A139" s="29" t="s">
        <v>91</v>
      </c>
      <c r="D139" s="10"/>
      <c r="G139" s="13">
        <f t="shared" si="14"/>
        <v>138</v>
      </c>
      <c r="H139" s="18">
        <v>45691</v>
      </c>
      <c r="I139" s="15" t="s">
        <v>36</v>
      </c>
      <c r="J139" s="15">
        <v>610.08000000000004</v>
      </c>
      <c r="K139" s="15">
        <v>2</v>
      </c>
      <c r="L139" s="15">
        <v>573.48</v>
      </c>
      <c r="M139" s="16">
        <f t="shared" si="10"/>
        <v>286.74</v>
      </c>
      <c r="N139" s="15">
        <v>0</v>
      </c>
      <c r="O139" s="16">
        <f t="shared" si="11"/>
        <v>610.08000000000004</v>
      </c>
      <c r="P139" s="15" t="s">
        <v>18</v>
      </c>
      <c r="Q139" s="15">
        <v>0.06</v>
      </c>
      <c r="R139" s="16">
        <f t="shared" si="12"/>
        <v>36.604800000000004</v>
      </c>
      <c r="S139" s="15">
        <v>0</v>
      </c>
      <c r="T139" s="15">
        <v>0</v>
      </c>
      <c r="U139" s="17">
        <f t="shared" si="13"/>
        <v>36.604800000000004</v>
      </c>
      <c r="V139" s="12" t="s">
        <v>40</v>
      </c>
      <c r="W139" s="12">
        <v>15</v>
      </c>
    </row>
    <row r="140" spans="1:23" s="12" customFormat="1" ht="30.75" customHeight="1" thickTop="1" thickBot="1" x14ac:dyDescent="0.35">
      <c r="A140" s="29" t="s">
        <v>92</v>
      </c>
      <c r="D140" s="10"/>
      <c r="G140" s="13">
        <f t="shared" si="14"/>
        <v>139</v>
      </c>
      <c r="H140" s="18">
        <v>45693</v>
      </c>
      <c r="I140" s="15" t="s">
        <v>30</v>
      </c>
      <c r="J140" s="15">
        <v>28512</v>
      </c>
      <c r="K140" s="15">
        <v>100</v>
      </c>
      <c r="L140" s="15">
        <v>22789.64</v>
      </c>
      <c r="M140" s="16">
        <f t="shared" si="10"/>
        <v>227.8964</v>
      </c>
      <c r="N140" s="15">
        <v>0</v>
      </c>
      <c r="O140" s="16">
        <f t="shared" si="11"/>
        <v>28512</v>
      </c>
      <c r="P140" s="15" t="s">
        <v>18</v>
      </c>
      <c r="Q140" s="15">
        <v>0.06</v>
      </c>
      <c r="R140" s="16">
        <f t="shared" si="12"/>
        <v>1710.72</v>
      </c>
      <c r="S140" s="15">
        <v>0</v>
      </c>
      <c r="T140" s="15">
        <v>0</v>
      </c>
      <c r="U140" s="17">
        <f t="shared" si="13"/>
        <v>1710.72</v>
      </c>
      <c r="V140" s="12" t="s">
        <v>40</v>
      </c>
      <c r="W140" s="12">
        <v>16</v>
      </c>
    </row>
    <row r="141" spans="1:23" s="12" customFormat="1" ht="30.75" customHeight="1" thickTop="1" thickBot="1" x14ac:dyDescent="0.35">
      <c r="A141" s="29" t="s">
        <v>61</v>
      </c>
      <c r="D141" s="10"/>
      <c r="G141" s="13">
        <f t="shared" si="14"/>
        <v>140</v>
      </c>
      <c r="H141" s="18">
        <v>45693</v>
      </c>
      <c r="I141" s="15" t="s">
        <v>17</v>
      </c>
      <c r="J141" s="15">
        <v>31363.200000000001</v>
      </c>
      <c r="K141" s="15">
        <v>110</v>
      </c>
      <c r="L141" s="15">
        <v>25068.61</v>
      </c>
      <c r="M141" s="16">
        <f t="shared" si="10"/>
        <v>227.89645454545456</v>
      </c>
      <c r="N141" s="15">
        <v>0</v>
      </c>
      <c r="O141" s="16">
        <f t="shared" si="11"/>
        <v>31363.200000000001</v>
      </c>
      <c r="P141" s="15" t="s">
        <v>18</v>
      </c>
      <c r="Q141" s="15">
        <v>0.06</v>
      </c>
      <c r="R141" s="16">
        <f t="shared" si="12"/>
        <v>1881.7919999999999</v>
      </c>
      <c r="S141" s="15">
        <v>0</v>
      </c>
      <c r="T141" s="15">
        <v>0</v>
      </c>
      <c r="U141" s="17">
        <f t="shared" si="13"/>
        <v>1881.7919999999999</v>
      </c>
      <c r="V141" s="12" t="s">
        <v>40</v>
      </c>
      <c r="W141" s="12">
        <v>16</v>
      </c>
    </row>
    <row r="142" spans="1:23" s="12" customFormat="1" ht="30.75" customHeight="1" thickTop="1" thickBot="1" x14ac:dyDescent="0.35">
      <c r="A142" s="29"/>
      <c r="D142" s="10"/>
      <c r="G142" s="13">
        <f t="shared" si="14"/>
        <v>141</v>
      </c>
      <c r="H142" s="18">
        <v>45693</v>
      </c>
      <c r="I142" s="15" t="s">
        <v>20</v>
      </c>
      <c r="J142" s="15">
        <v>576</v>
      </c>
      <c r="K142" s="15">
        <v>2</v>
      </c>
      <c r="L142" s="15">
        <v>541.44000000000005</v>
      </c>
      <c r="M142" s="16">
        <f t="shared" si="10"/>
        <v>270.72000000000003</v>
      </c>
      <c r="N142" s="15">
        <v>0</v>
      </c>
      <c r="O142" s="16">
        <f t="shared" si="11"/>
        <v>576</v>
      </c>
      <c r="P142" s="15" t="s">
        <v>18</v>
      </c>
      <c r="Q142" s="15">
        <v>0.06</v>
      </c>
      <c r="R142" s="16">
        <f t="shared" si="12"/>
        <v>34.56</v>
      </c>
      <c r="S142" s="15">
        <v>0</v>
      </c>
      <c r="T142" s="15">
        <v>0</v>
      </c>
      <c r="U142" s="17">
        <f t="shared" si="13"/>
        <v>34.56</v>
      </c>
      <c r="V142" s="12" t="s">
        <v>40</v>
      </c>
      <c r="W142" s="12">
        <v>16</v>
      </c>
    </row>
    <row r="143" spans="1:23" s="12" customFormat="1" ht="30.75" customHeight="1" thickTop="1" thickBot="1" x14ac:dyDescent="0.35">
      <c r="A143"/>
      <c r="D143" s="10"/>
      <c r="G143" s="13">
        <f t="shared" si="14"/>
        <v>142</v>
      </c>
      <c r="H143" s="18">
        <v>45693</v>
      </c>
      <c r="I143" s="15" t="s">
        <v>21</v>
      </c>
      <c r="J143" s="15">
        <v>1785.6</v>
      </c>
      <c r="K143" s="15">
        <v>8</v>
      </c>
      <c r="L143" s="15">
        <v>1678.46</v>
      </c>
      <c r="M143" s="16">
        <f t="shared" si="10"/>
        <v>209.8075</v>
      </c>
      <c r="N143" s="15">
        <v>0</v>
      </c>
      <c r="O143" s="16">
        <f t="shared" si="11"/>
        <v>1785.6</v>
      </c>
      <c r="P143" s="15" t="s">
        <v>18</v>
      </c>
      <c r="Q143" s="15">
        <v>0.06</v>
      </c>
      <c r="R143" s="16">
        <f t="shared" si="12"/>
        <v>107.136</v>
      </c>
      <c r="S143" s="15">
        <v>0</v>
      </c>
      <c r="T143" s="15">
        <v>0</v>
      </c>
      <c r="U143" s="17">
        <f t="shared" si="13"/>
        <v>107.136</v>
      </c>
      <c r="V143" s="12" t="s">
        <v>40</v>
      </c>
      <c r="W143" s="12">
        <v>16</v>
      </c>
    </row>
    <row r="144" spans="1:23" s="12" customFormat="1" ht="30.75" customHeight="1" thickTop="1" thickBot="1" x14ac:dyDescent="0.35">
      <c r="A144"/>
      <c r="D144" s="10"/>
      <c r="G144" s="13">
        <f t="shared" si="14"/>
        <v>143</v>
      </c>
      <c r="H144" s="18">
        <v>45693</v>
      </c>
      <c r="I144" s="15" t="s">
        <v>22</v>
      </c>
      <c r="J144" s="15">
        <v>2692.5</v>
      </c>
      <c r="K144" s="15">
        <v>10</v>
      </c>
      <c r="L144" s="15">
        <v>2530.9499999999998</v>
      </c>
      <c r="M144" s="16">
        <f t="shared" si="10"/>
        <v>253.09499999999997</v>
      </c>
      <c r="N144" s="15">
        <v>0</v>
      </c>
      <c r="O144" s="16">
        <f t="shared" si="11"/>
        <v>2692.5</v>
      </c>
      <c r="P144" s="15" t="s">
        <v>18</v>
      </c>
      <c r="Q144" s="15">
        <v>0.06</v>
      </c>
      <c r="R144" s="16">
        <f t="shared" si="12"/>
        <v>161.54999999999998</v>
      </c>
      <c r="S144" s="15">
        <v>0</v>
      </c>
      <c r="T144" s="15">
        <v>0</v>
      </c>
      <c r="U144" s="17">
        <f t="shared" si="13"/>
        <v>161.54999999999998</v>
      </c>
      <c r="V144" s="12" t="s">
        <v>40</v>
      </c>
      <c r="W144" s="12">
        <v>16</v>
      </c>
    </row>
    <row r="145" spans="1:23" s="12" customFormat="1" ht="30.75" customHeight="1" thickTop="1" thickBot="1" x14ac:dyDescent="0.35">
      <c r="A145" s="30"/>
      <c r="D145" s="10"/>
      <c r="G145" s="13">
        <f t="shared" si="14"/>
        <v>144</v>
      </c>
      <c r="H145" s="18">
        <v>45693</v>
      </c>
      <c r="I145" s="15" t="s">
        <v>23</v>
      </c>
      <c r="J145" s="15">
        <v>18000</v>
      </c>
      <c r="K145" s="15">
        <v>100</v>
      </c>
      <c r="L145" s="15">
        <v>16920</v>
      </c>
      <c r="M145" s="16">
        <f t="shared" si="10"/>
        <v>169.2</v>
      </c>
      <c r="N145" s="15">
        <v>0</v>
      </c>
      <c r="O145" s="16">
        <f t="shared" si="11"/>
        <v>18000</v>
      </c>
      <c r="P145" s="15" t="s">
        <v>18</v>
      </c>
      <c r="Q145" s="15">
        <v>0.06</v>
      </c>
      <c r="R145" s="16">
        <f t="shared" si="12"/>
        <v>1080</v>
      </c>
      <c r="S145" s="15">
        <v>0</v>
      </c>
      <c r="T145" s="15">
        <v>0</v>
      </c>
      <c r="U145" s="17">
        <f t="shared" si="13"/>
        <v>1080</v>
      </c>
      <c r="V145" s="12" t="s">
        <v>40</v>
      </c>
      <c r="W145" s="12">
        <v>16</v>
      </c>
    </row>
    <row r="146" spans="1:23" s="12" customFormat="1" ht="30.75" customHeight="1" thickTop="1" thickBot="1" x14ac:dyDescent="0.35">
      <c r="A146" s="31"/>
      <c r="D146" s="10"/>
      <c r="G146" s="13">
        <f t="shared" si="14"/>
        <v>145</v>
      </c>
      <c r="H146" s="18">
        <v>45693</v>
      </c>
      <c r="I146" s="15" t="s">
        <v>24</v>
      </c>
      <c r="J146" s="15">
        <v>3050.4</v>
      </c>
      <c r="K146" s="15">
        <v>10</v>
      </c>
      <c r="L146" s="15">
        <v>2887.38</v>
      </c>
      <c r="M146" s="16">
        <f t="shared" si="10"/>
        <v>288.738</v>
      </c>
      <c r="N146" s="15">
        <v>0</v>
      </c>
      <c r="O146" s="16">
        <f t="shared" si="11"/>
        <v>3050.4</v>
      </c>
      <c r="P146" s="15" t="s">
        <v>18</v>
      </c>
      <c r="Q146" s="15">
        <v>0.06</v>
      </c>
      <c r="R146" s="16">
        <f t="shared" si="12"/>
        <v>183.024</v>
      </c>
      <c r="S146" s="15">
        <v>0</v>
      </c>
      <c r="T146" s="15">
        <v>0</v>
      </c>
      <c r="U146" s="17">
        <f t="shared" si="13"/>
        <v>183.024</v>
      </c>
      <c r="V146" s="12" t="s">
        <v>40</v>
      </c>
      <c r="W146" s="12">
        <v>16</v>
      </c>
    </row>
    <row r="147" spans="1:23" s="12" customFormat="1" ht="30.75" customHeight="1" thickTop="1" thickBot="1" x14ac:dyDescent="0.35">
      <c r="A147" s="31"/>
      <c r="D147" s="10"/>
      <c r="G147" s="13">
        <f t="shared" si="14"/>
        <v>146</v>
      </c>
      <c r="H147" s="18">
        <v>45693</v>
      </c>
      <c r="I147" s="15" t="s">
        <v>31</v>
      </c>
      <c r="J147" s="15">
        <v>3600</v>
      </c>
      <c r="K147" s="15">
        <v>20</v>
      </c>
      <c r="L147" s="15">
        <v>3384</v>
      </c>
      <c r="M147" s="16">
        <f t="shared" si="10"/>
        <v>169.2</v>
      </c>
      <c r="N147" s="15">
        <v>0</v>
      </c>
      <c r="O147" s="16">
        <f t="shared" si="11"/>
        <v>3600</v>
      </c>
      <c r="P147" s="15" t="s">
        <v>18</v>
      </c>
      <c r="Q147" s="15">
        <v>0.06</v>
      </c>
      <c r="R147" s="16">
        <f t="shared" si="12"/>
        <v>216</v>
      </c>
      <c r="S147" s="15">
        <v>0</v>
      </c>
      <c r="T147" s="15">
        <v>0</v>
      </c>
      <c r="U147" s="17">
        <f t="shared" si="13"/>
        <v>216</v>
      </c>
      <c r="V147" s="12" t="s">
        <v>40</v>
      </c>
      <c r="W147" s="12">
        <v>16</v>
      </c>
    </row>
    <row r="148" spans="1:23" s="12" customFormat="1" ht="30.75" customHeight="1" thickTop="1" thickBot="1" x14ac:dyDescent="0.35">
      <c r="A148" s="31"/>
      <c r="D148" s="10"/>
      <c r="G148" s="13">
        <f t="shared" si="14"/>
        <v>147</v>
      </c>
      <c r="H148" s="18">
        <v>45696</v>
      </c>
      <c r="I148" s="15" t="s">
        <v>37</v>
      </c>
      <c r="J148" s="15">
        <v>51813</v>
      </c>
      <c r="K148" s="15">
        <v>100</v>
      </c>
      <c r="L148" s="15">
        <v>50776.74</v>
      </c>
      <c r="M148" s="16">
        <f t="shared" si="10"/>
        <v>507.76739999999995</v>
      </c>
      <c r="N148" s="15">
        <v>0</v>
      </c>
      <c r="O148" s="16">
        <f t="shared" si="11"/>
        <v>51813</v>
      </c>
      <c r="P148" s="15" t="s">
        <v>29</v>
      </c>
      <c r="Q148" s="15">
        <v>0.02</v>
      </c>
      <c r="R148" s="16">
        <f t="shared" si="12"/>
        <v>1036.26</v>
      </c>
      <c r="S148" s="15">
        <v>0</v>
      </c>
      <c r="T148" s="15">
        <v>0</v>
      </c>
      <c r="U148" s="17">
        <f t="shared" si="13"/>
        <v>1036.26</v>
      </c>
      <c r="V148" s="12" t="s">
        <v>40</v>
      </c>
      <c r="W148" s="12">
        <v>17</v>
      </c>
    </row>
    <row r="149" spans="1:23" s="12" customFormat="1" ht="30.75" customHeight="1" thickTop="1" thickBot="1" x14ac:dyDescent="0.35">
      <c r="A149" s="31"/>
      <c r="D149" s="10"/>
      <c r="G149" s="13">
        <f t="shared" si="14"/>
        <v>148</v>
      </c>
      <c r="H149" s="18">
        <v>45696</v>
      </c>
      <c r="I149" s="15" t="s">
        <v>28</v>
      </c>
      <c r="J149" s="15">
        <v>53001</v>
      </c>
      <c r="K149" s="15">
        <v>100</v>
      </c>
      <c r="L149" s="15">
        <v>51940.98</v>
      </c>
      <c r="M149" s="16">
        <f t="shared" si="10"/>
        <v>519.40980000000002</v>
      </c>
      <c r="N149" s="15">
        <v>0</v>
      </c>
      <c r="O149" s="16">
        <f t="shared" si="11"/>
        <v>53001</v>
      </c>
      <c r="P149" s="15" t="s">
        <v>29</v>
      </c>
      <c r="Q149" s="15">
        <v>0.02</v>
      </c>
      <c r="R149" s="16">
        <f t="shared" si="12"/>
        <v>1060.02</v>
      </c>
      <c r="S149" s="15">
        <v>0</v>
      </c>
      <c r="T149" s="15">
        <v>0</v>
      </c>
      <c r="U149" s="17">
        <f t="shared" si="13"/>
        <v>1060.02</v>
      </c>
      <c r="V149" s="12" t="s">
        <v>40</v>
      </c>
      <c r="W149" s="12">
        <v>17</v>
      </c>
    </row>
    <row r="150" spans="1:23" s="12" customFormat="1" ht="30.75" customHeight="1" thickTop="1" thickBot="1" x14ac:dyDescent="0.35">
      <c r="A150" s="31"/>
      <c r="D150" s="10"/>
      <c r="G150" s="13">
        <f t="shared" si="14"/>
        <v>149</v>
      </c>
      <c r="H150" s="18">
        <v>45696</v>
      </c>
      <c r="I150" s="15" t="s">
        <v>30</v>
      </c>
      <c r="J150" s="15">
        <v>57024</v>
      </c>
      <c r="K150" s="15">
        <v>200</v>
      </c>
      <c r="L150" s="15">
        <v>45579.28</v>
      </c>
      <c r="M150" s="16">
        <f t="shared" si="10"/>
        <v>227.8964</v>
      </c>
      <c r="N150" s="15">
        <v>0</v>
      </c>
      <c r="O150" s="16">
        <f t="shared" si="11"/>
        <v>57024</v>
      </c>
      <c r="P150" s="15" t="s">
        <v>18</v>
      </c>
      <c r="Q150" s="15">
        <v>0.06</v>
      </c>
      <c r="R150" s="16">
        <f t="shared" si="12"/>
        <v>3421.44</v>
      </c>
      <c r="S150" s="15">
        <v>0</v>
      </c>
      <c r="T150" s="15">
        <v>0</v>
      </c>
      <c r="U150" s="17">
        <f t="shared" si="13"/>
        <v>3421.44</v>
      </c>
      <c r="V150" s="12" t="s">
        <v>40</v>
      </c>
      <c r="W150" s="12">
        <v>17</v>
      </c>
    </row>
    <row r="151" spans="1:23" s="12" customFormat="1" ht="30.75" customHeight="1" thickTop="1" thickBot="1" x14ac:dyDescent="0.35">
      <c r="A151" s="30"/>
      <c r="D151" s="10"/>
      <c r="G151" s="13">
        <f t="shared" si="14"/>
        <v>150</v>
      </c>
      <c r="H151" s="18">
        <v>45696</v>
      </c>
      <c r="I151" s="15" t="s">
        <v>17</v>
      </c>
      <c r="J151" s="15">
        <v>57024</v>
      </c>
      <c r="K151" s="15">
        <v>200</v>
      </c>
      <c r="L151" s="15">
        <v>45579.28</v>
      </c>
      <c r="M151" s="16">
        <f t="shared" si="10"/>
        <v>227.8964</v>
      </c>
      <c r="N151" s="15">
        <v>0</v>
      </c>
      <c r="O151" s="16">
        <f t="shared" si="11"/>
        <v>57024</v>
      </c>
      <c r="P151" s="15" t="s">
        <v>18</v>
      </c>
      <c r="Q151" s="15">
        <v>0.06</v>
      </c>
      <c r="R151" s="16">
        <f t="shared" si="12"/>
        <v>3421.44</v>
      </c>
      <c r="S151" s="15">
        <v>0</v>
      </c>
      <c r="T151" s="15">
        <v>0</v>
      </c>
      <c r="U151" s="17">
        <f t="shared" si="13"/>
        <v>3421.44</v>
      </c>
      <c r="V151" s="12" t="s">
        <v>40</v>
      </c>
      <c r="W151" s="12">
        <v>17</v>
      </c>
    </row>
    <row r="152" spans="1:23" s="12" customFormat="1" ht="30.75" customHeight="1" thickTop="1" thickBot="1" x14ac:dyDescent="0.35">
      <c r="A152" s="32"/>
      <c r="D152" s="10"/>
      <c r="G152" s="13">
        <f t="shared" si="14"/>
        <v>151</v>
      </c>
      <c r="H152" s="18">
        <v>45696</v>
      </c>
      <c r="I152" s="15" t="s">
        <v>20</v>
      </c>
      <c r="J152" s="15">
        <v>576</v>
      </c>
      <c r="K152" s="15">
        <v>2</v>
      </c>
      <c r="L152" s="15">
        <v>541.44000000000005</v>
      </c>
      <c r="M152" s="16">
        <f t="shared" si="10"/>
        <v>270.72000000000003</v>
      </c>
      <c r="N152" s="15">
        <v>0</v>
      </c>
      <c r="O152" s="16">
        <f t="shared" si="11"/>
        <v>576</v>
      </c>
      <c r="P152" s="15" t="s">
        <v>18</v>
      </c>
      <c r="Q152" s="15">
        <v>0.06</v>
      </c>
      <c r="R152" s="16">
        <f t="shared" si="12"/>
        <v>34.56</v>
      </c>
      <c r="S152" s="15">
        <v>0</v>
      </c>
      <c r="T152" s="15">
        <v>0</v>
      </c>
      <c r="U152" s="17">
        <f t="shared" si="13"/>
        <v>34.56</v>
      </c>
      <c r="V152" s="12" t="s">
        <v>40</v>
      </c>
      <c r="W152" s="12">
        <v>17</v>
      </c>
    </row>
    <row r="153" spans="1:23" s="12" customFormat="1" ht="30.75" customHeight="1" thickTop="1" thickBot="1" x14ac:dyDescent="0.35">
      <c r="A153" s="32"/>
      <c r="D153" s="10"/>
      <c r="G153" s="13">
        <f t="shared" si="14"/>
        <v>152</v>
      </c>
      <c r="H153" s="18">
        <v>45696</v>
      </c>
      <c r="I153" s="15" t="s">
        <v>21</v>
      </c>
      <c r="J153" s="15">
        <v>1339.2</v>
      </c>
      <c r="K153" s="15">
        <v>6</v>
      </c>
      <c r="L153" s="15">
        <v>1258.8499999999999</v>
      </c>
      <c r="M153" s="16">
        <f t="shared" si="10"/>
        <v>209.80833333333331</v>
      </c>
      <c r="N153" s="15">
        <v>0</v>
      </c>
      <c r="O153" s="16">
        <f t="shared" si="11"/>
        <v>1339.2</v>
      </c>
      <c r="P153" s="15" t="s">
        <v>18</v>
      </c>
      <c r="Q153" s="15">
        <v>0.06</v>
      </c>
      <c r="R153" s="16">
        <f t="shared" si="12"/>
        <v>80.352000000000004</v>
      </c>
      <c r="S153" s="15">
        <v>0</v>
      </c>
      <c r="T153" s="15">
        <v>0</v>
      </c>
      <c r="U153" s="17">
        <f t="shared" si="13"/>
        <v>80.352000000000004</v>
      </c>
      <c r="V153" s="12" t="s">
        <v>40</v>
      </c>
      <c r="W153" s="12">
        <v>17</v>
      </c>
    </row>
    <row r="154" spans="1:23" s="12" customFormat="1" ht="30.75" customHeight="1" thickTop="1" thickBot="1" x14ac:dyDescent="0.35">
      <c r="A154" s="32"/>
      <c r="D154" s="10"/>
      <c r="G154" s="13">
        <f t="shared" si="14"/>
        <v>153</v>
      </c>
      <c r="H154" s="18">
        <v>45696</v>
      </c>
      <c r="I154" s="15" t="s">
        <v>22</v>
      </c>
      <c r="J154" s="15">
        <v>2692.5</v>
      </c>
      <c r="K154" s="15">
        <v>10</v>
      </c>
      <c r="L154" s="15">
        <v>2530.9499999999998</v>
      </c>
      <c r="M154" s="16">
        <f t="shared" si="10"/>
        <v>253.09499999999997</v>
      </c>
      <c r="N154" s="15">
        <v>0</v>
      </c>
      <c r="O154" s="16">
        <f t="shared" si="11"/>
        <v>2692.5</v>
      </c>
      <c r="P154" s="15" t="s">
        <v>18</v>
      </c>
      <c r="Q154" s="15">
        <v>0.06</v>
      </c>
      <c r="R154" s="16">
        <f t="shared" si="12"/>
        <v>161.54999999999998</v>
      </c>
      <c r="S154" s="15">
        <v>0</v>
      </c>
      <c r="T154" s="15">
        <v>0</v>
      </c>
      <c r="U154" s="17">
        <f t="shared" si="13"/>
        <v>161.54999999999998</v>
      </c>
      <c r="V154" s="12" t="s">
        <v>40</v>
      </c>
      <c r="W154" s="12">
        <v>17</v>
      </c>
    </row>
    <row r="155" spans="1:23" s="12" customFormat="1" ht="30.75" customHeight="1" thickTop="1" thickBot="1" x14ac:dyDescent="0.35">
      <c r="A155" s="32"/>
      <c r="D155" s="10"/>
      <c r="G155" s="13">
        <f t="shared" si="14"/>
        <v>154</v>
      </c>
      <c r="H155" s="18">
        <v>45696</v>
      </c>
      <c r="I155" s="15" t="s">
        <v>23</v>
      </c>
      <c r="J155" s="15">
        <v>27000</v>
      </c>
      <c r="K155" s="15">
        <v>150</v>
      </c>
      <c r="L155" s="15">
        <v>25380</v>
      </c>
      <c r="M155" s="16">
        <f t="shared" si="10"/>
        <v>169.2</v>
      </c>
      <c r="N155" s="15">
        <v>0</v>
      </c>
      <c r="O155" s="16">
        <f t="shared" si="11"/>
        <v>27000</v>
      </c>
      <c r="P155" s="15" t="s">
        <v>18</v>
      </c>
      <c r="Q155" s="15">
        <v>0.06</v>
      </c>
      <c r="R155" s="16">
        <f t="shared" si="12"/>
        <v>1620</v>
      </c>
      <c r="S155" s="15">
        <v>0</v>
      </c>
      <c r="T155" s="15">
        <v>0</v>
      </c>
      <c r="U155" s="17">
        <f t="shared" si="13"/>
        <v>1620</v>
      </c>
      <c r="V155" s="12" t="s">
        <v>40</v>
      </c>
      <c r="W155" s="12">
        <v>17</v>
      </c>
    </row>
    <row r="156" spans="1:23" s="12" customFormat="1" ht="30.75" customHeight="1" thickTop="1" thickBot="1" x14ac:dyDescent="0.35">
      <c r="A156" s="32"/>
      <c r="D156" s="10"/>
      <c r="G156" s="13">
        <f t="shared" si="14"/>
        <v>155</v>
      </c>
      <c r="H156" s="18">
        <v>45696</v>
      </c>
      <c r="I156" s="15" t="s">
        <v>24</v>
      </c>
      <c r="J156" s="15">
        <v>6100.8</v>
      </c>
      <c r="K156" s="15">
        <v>20</v>
      </c>
      <c r="L156" s="15">
        <v>5734.75</v>
      </c>
      <c r="M156" s="16">
        <f t="shared" si="10"/>
        <v>286.73750000000001</v>
      </c>
      <c r="N156" s="15">
        <v>0</v>
      </c>
      <c r="O156" s="16">
        <f t="shared" si="11"/>
        <v>6100.8</v>
      </c>
      <c r="P156" s="15" t="s">
        <v>18</v>
      </c>
      <c r="Q156" s="15">
        <v>0.06</v>
      </c>
      <c r="R156" s="16">
        <f t="shared" si="12"/>
        <v>366.048</v>
      </c>
      <c r="S156" s="15">
        <v>0</v>
      </c>
      <c r="T156" s="15">
        <v>0</v>
      </c>
      <c r="U156" s="17">
        <f t="shared" si="13"/>
        <v>366.048</v>
      </c>
      <c r="V156" s="12" t="s">
        <v>40</v>
      </c>
      <c r="W156" s="12">
        <v>17</v>
      </c>
    </row>
    <row r="157" spans="1:23" s="12" customFormat="1" ht="30.75" customHeight="1" thickTop="1" thickBot="1" x14ac:dyDescent="0.35">
      <c r="A157" s="32"/>
      <c r="D157" s="10"/>
      <c r="G157" s="13">
        <f t="shared" si="14"/>
        <v>156</v>
      </c>
      <c r="H157" s="18">
        <v>45696</v>
      </c>
      <c r="I157" s="15" t="s">
        <v>31</v>
      </c>
      <c r="J157" s="15">
        <v>5400</v>
      </c>
      <c r="K157" s="15">
        <v>30</v>
      </c>
      <c r="L157" s="15">
        <v>5076</v>
      </c>
      <c r="M157" s="16">
        <f t="shared" si="10"/>
        <v>169.2</v>
      </c>
      <c r="N157" s="15">
        <v>0</v>
      </c>
      <c r="O157" s="16">
        <f t="shared" si="11"/>
        <v>5400</v>
      </c>
      <c r="P157" s="15" t="s">
        <v>18</v>
      </c>
      <c r="Q157" s="15">
        <v>0.06</v>
      </c>
      <c r="R157" s="16">
        <f t="shared" si="12"/>
        <v>324</v>
      </c>
      <c r="S157" s="15">
        <v>0</v>
      </c>
      <c r="T157" s="15">
        <v>0</v>
      </c>
      <c r="U157" s="17">
        <f t="shared" si="13"/>
        <v>324</v>
      </c>
      <c r="V157" s="12" t="s">
        <v>40</v>
      </c>
      <c r="W157" s="12">
        <v>17</v>
      </c>
    </row>
    <row r="158" spans="1:23" s="12" customFormat="1" ht="30.75" customHeight="1" thickTop="1" thickBot="1" x14ac:dyDescent="0.35">
      <c r="A158" s="32"/>
      <c r="D158" s="10"/>
      <c r="G158" s="13">
        <f t="shared" si="14"/>
        <v>157</v>
      </c>
      <c r="H158" s="18">
        <v>45696</v>
      </c>
      <c r="I158" s="15" t="s">
        <v>36</v>
      </c>
      <c r="J158" s="15">
        <v>915.12</v>
      </c>
      <c r="K158" s="15">
        <v>3</v>
      </c>
      <c r="L158" s="15">
        <v>860.21</v>
      </c>
      <c r="M158" s="16">
        <f t="shared" si="10"/>
        <v>286.73666666666668</v>
      </c>
      <c r="N158" s="15">
        <v>0</v>
      </c>
      <c r="O158" s="16">
        <f t="shared" si="11"/>
        <v>915.12</v>
      </c>
      <c r="P158" s="15" t="s">
        <v>18</v>
      </c>
      <c r="Q158" s="15">
        <v>0.06</v>
      </c>
      <c r="R158" s="16">
        <f t="shared" si="12"/>
        <v>54.907199999999996</v>
      </c>
      <c r="S158" s="15">
        <v>0</v>
      </c>
      <c r="T158" s="15">
        <v>0</v>
      </c>
      <c r="U158" s="17">
        <f t="shared" si="13"/>
        <v>54.907199999999996</v>
      </c>
      <c r="V158" s="12" t="s">
        <v>40</v>
      </c>
      <c r="W158" s="12">
        <v>17</v>
      </c>
    </row>
    <row r="159" spans="1:23" s="12" customFormat="1" ht="30.75" customHeight="1" thickTop="1" thickBot="1" x14ac:dyDescent="0.35">
      <c r="A159" s="32"/>
      <c r="D159" s="10"/>
      <c r="G159" s="13">
        <f t="shared" si="14"/>
        <v>158</v>
      </c>
      <c r="H159" s="18">
        <v>45700</v>
      </c>
      <c r="I159" s="15" t="s">
        <v>17</v>
      </c>
      <c r="J159" s="15">
        <v>28512</v>
      </c>
      <c r="K159" s="15">
        <v>100</v>
      </c>
      <c r="L159" s="15">
        <v>22789.64</v>
      </c>
      <c r="M159" s="16">
        <f t="shared" si="10"/>
        <v>227.8964</v>
      </c>
      <c r="N159" s="15">
        <v>0</v>
      </c>
      <c r="O159" s="16">
        <f t="shared" si="11"/>
        <v>28512</v>
      </c>
      <c r="P159" s="15" t="s">
        <v>18</v>
      </c>
      <c r="Q159" s="15">
        <v>0.06</v>
      </c>
      <c r="R159" s="16">
        <f t="shared" si="12"/>
        <v>1710.72</v>
      </c>
      <c r="S159" s="15">
        <v>0</v>
      </c>
      <c r="T159" s="15">
        <v>0</v>
      </c>
      <c r="U159" s="17">
        <f t="shared" si="13"/>
        <v>1710.72</v>
      </c>
      <c r="V159" s="12" t="s">
        <v>40</v>
      </c>
      <c r="W159" s="12">
        <v>18</v>
      </c>
    </row>
    <row r="160" spans="1:23" s="12" customFormat="1" ht="30.75" customHeight="1" thickTop="1" thickBot="1" x14ac:dyDescent="0.35">
      <c r="A160" s="32"/>
      <c r="D160" s="10"/>
      <c r="G160" s="13">
        <f t="shared" si="14"/>
        <v>159</v>
      </c>
      <c r="H160" s="18">
        <v>45700</v>
      </c>
      <c r="I160" s="15" t="s">
        <v>35</v>
      </c>
      <c r="J160" s="15">
        <v>3504</v>
      </c>
      <c r="K160" s="15">
        <v>20</v>
      </c>
      <c r="L160" s="15">
        <v>3293.76</v>
      </c>
      <c r="M160" s="16">
        <f t="shared" si="10"/>
        <v>164.68800000000002</v>
      </c>
      <c r="N160" s="15">
        <v>0</v>
      </c>
      <c r="O160" s="16">
        <f t="shared" si="11"/>
        <v>3504</v>
      </c>
      <c r="P160" s="15" t="s">
        <v>18</v>
      </c>
      <c r="Q160" s="15">
        <v>0.06</v>
      </c>
      <c r="R160" s="16">
        <f t="shared" si="12"/>
        <v>210.23999999999998</v>
      </c>
      <c r="S160" s="15">
        <v>0</v>
      </c>
      <c r="T160" s="15">
        <v>0</v>
      </c>
      <c r="U160" s="17">
        <f t="shared" si="13"/>
        <v>210.23999999999998</v>
      </c>
      <c r="V160" s="12" t="s">
        <v>40</v>
      </c>
      <c r="W160" s="12">
        <v>18</v>
      </c>
    </row>
    <row r="161" spans="1:23" s="12" customFormat="1" ht="30.75" customHeight="1" thickTop="1" thickBot="1" x14ac:dyDescent="0.35">
      <c r="A161" s="32"/>
      <c r="D161" s="10"/>
      <c r="G161" s="13">
        <f t="shared" si="14"/>
        <v>160</v>
      </c>
      <c r="H161" s="18">
        <v>45700</v>
      </c>
      <c r="I161" s="15" t="s">
        <v>20</v>
      </c>
      <c r="J161" s="15">
        <v>576</v>
      </c>
      <c r="K161" s="15">
        <v>2</v>
      </c>
      <c r="L161" s="15">
        <v>541.44000000000005</v>
      </c>
      <c r="M161" s="16">
        <f t="shared" si="10"/>
        <v>270.72000000000003</v>
      </c>
      <c r="N161" s="15">
        <v>0</v>
      </c>
      <c r="O161" s="16">
        <f t="shared" si="11"/>
        <v>576</v>
      </c>
      <c r="P161" s="15" t="s">
        <v>18</v>
      </c>
      <c r="Q161" s="15">
        <v>0.06</v>
      </c>
      <c r="R161" s="16">
        <f t="shared" si="12"/>
        <v>34.56</v>
      </c>
      <c r="S161" s="15">
        <v>0</v>
      </c>
      <c r="T161" s="15">
        <v>0</v>
      </c>
      <c r="U161" s="17">
        <f t="shared" si="13"/>
        <v>34.56</v>
      </c>
      <c r="V161" s="12" t="s">
        <v>40</v>
      </c>
      <c r="W161" s="12">
        <v>18</v>
      </c>
    </row>
    <row r="162" spans="1:23" s="12" customFormat="1" ht="30.75" customHeight="1" thickTop="1" thickBot="1" x14ac:dyDescent="0.35">
      <c r="A162" s="32"/>
      <c r="D162" s="10"/>
      <c r="G162" s="13">
        <f t="shared" si="14"/>
        <v>161</v>
      </c>
      <c r="H162" s="18">
        <v>45700</v>
      </c>
      <c r="I162" s="15" t="s">
        <v>21</v>
      </c>
      <c r="J162" s="15">
        <v>2232</v>
      </c>
      <c r="K162" s="15">
        <v>10</v>
      </c>
      <c r="L162" s="15">
        <v>2098.08</v>
      </c>
      <c r="M162" s="16">
        <f t="shared" si="10"/>
        <v>209.80799999999999</v>
      </c>
      <c r="N162" s="15">
        <v>0</v>
      </c>
      <c r="O162" s="16">
        <f t="shared" si="11"/>
        <v>2232</v>
      </c>
      <c r="P162" s="15" t="s">
        <v>18</v>
      </c>
      <c r="Q162" s="15">
        <v>0.06</v>
      </c>
      <c r="R162" s="16">
        <f t="shared" si="12"/>
        <v>133.91999999999999</v>
      </c>
      <c r="S162" s="15">
        <v>0</v>
      </c>
      <c r="T162" s="15">
        <v>0</v>
      </c>
      <c r="U162" s="17">
        <f t="shared" si="13"/>
        <v>133.91999999999999</v>
      </c>
      <c r="V162" s="12" t="s">
        <v>40</v>
      </c>
      <c r="W162" s="12">
        <v>18</v>
      </c>
    </row>
    <row r="163" spans="1:23" s="12" customFormat="1" ht="30.75" customHeight="1" thickTop="1" thickBot="1" x14ac:dyDescent="0.35">
      <c r="A163" s="32"/>
      <c r="D163" s="10"/>
      <c r="G163" s="13">
        <f t="shared" si="14"/>
        <v>162</v>
      </c>
      <c r="H163" s="18">
        <v>45700</v>
      </c>
      <c r="I163" s="15" t="s">
        <v>22</v>
      </c>
      <c r="J163" s="15">
        <v>1346.25</v>
      </c>
      <c r="K163" s="15">
        <v>5</v>
      </c>
      <c r="L163" s="15">
        <v>1265.48</v>
      </c>
      <c r="M163" s="16">
        <f t="shared" si="10"/>
        <v>253.096</v>
      </c>
      <c r="N163" s="15">
        <v>0</v>
      </c>
      <c r="O163" s="16">
        <f t="shared" si="11"/>
        <v>1346.25</v>
      </c>
      <c r="P163" s="15" t="s">
        <v>18</v>
      </c>
      <c r="Q163" s="15">
        <v>0.06</v>
      </c>
      <c r="R163" s="16">
        <f t="shared" si="12"/>
        <v>80.774999999999991</v>
      </c>
      <c r="S163" s="15">
        <v>0</v>
      </c>
      <c r="T163" s="15">
        <v>0</v>
      </c>
      <c r="U163" s="17">
        <f t="shared" si="13"/>
        <v>80.774999999999991</v>
      </c>
      <c r="V163" s="12" t="s">
        <v>40</v>
      </c>
      <c r="W163" s="12">
        <v>18</v>
      </c>
    </row>
    <row r="164" spans="1:23" s="12" customFormat="1" ht="30.75" customHeight="1" thickTop="1" thickBot="1" x14ac:dyDescent="0.35">
      <c r="A164" s="32"/>
      <c r="D164" s="10"/>
      <c r="G164" s="13">
        <f t="shared" si="14"/>
        <v>163</v>
      </c>
      <c r="H164" s="18">
        <v>45700</v>
      </c>
      <c r="I164" s="15" t="s">
        <v>23</v>
      </c>
      <c r="J164" s="15">
        <v>45000</v>
      </c>
      <c r="K164" s="15">
        <v>250</v>
      </c>
      <c r="L164" s="15">
        <v>39375</v>
      </c>
      <c r="M164" s="16">
        <f t="shared" si="10"/>
        <v>157.5</v>
      </c>
      <c r="N164" s="15">
        <v>0</v>
      </c>
      <c r="O164" s="16">
        <f t="shared" si="11"/>
        <v>45000</v>
      </c>
      <c r="P164" s="15" t="s">
        <v>18</v>
      </c>
      <c r="Q164" s="15">
        <v>0.06</v>
      </c>
      <c r="R164" s="16">
        <f t="shared" si="12"/>
        <v>2700</v>
      </c>
      <c r="S164" s="15">
        <v>0</v>
      </c>
      <c r="T164" s="15">
        <v>0</v>
      </c>
      <c r="U164" s="17">
        <f t="shared" si="13"/>
        <v>2700</v>
      </c>
      <c r="V164" s="12" t="s">
        <v>40</v>
      </c>
      <c r="W164" s="12">
        <v>18</v>
      </c>
    </row>
    <row r="165" spans="1:23" s="12" customFormat="1" ht="30.75" customHeight="1" thickTop="1" thickBot="1" x14ac:dyDescent="0.35">
      <c r="A165" s="32"/>
      <c r="D165" s="10"/>
      <c r="G165" s="13">
        <f t="shared" si="14"/>
        <v>164</v>
      </c>
      <c r="H165" s="18">
        <v>45700</v>
      </c>
      <c r="I165" s="15" t="s">
        <v>24</v>
      </c>
      <c r="J165" s="15">
        <v>6100.8</v>
      </c>
      <c r="K165" s="15">
        <v>20</v>
      </c>
      <c r="L165" s="15">
        <v>5734.75</v>
      </c>
      <c r="M165" s="16">
        <f t="shared" si="10"/>
        <v>286.73750000000001</v>
      </c>
      <c r="N165" s="15">
        <v>0</v>
      </c>
      <c r="O165" s="16">
        <f t="shared" si="11"/>
        <v>6100.8</v>
      </c>
      <c r="P165" s="15" t="s">
        <v>18</v>
      </c>
      <c r="Q165" s="15">
        <v>0.06</v>
      </c>
      <c r="R165" s="16">
        <f t="shared" si="12"/>
        <v>366.048</v>
      </c>
      <c r="S165" s="15">
        <v>0</v>
      </c>
      <c r="T165" s="15">
        <v>0</v>
      </c>
      <c r="U165" s="17">
        <f t="shared" si="13"/>
        <v>366.048</v>
      </c>
      <c r="V165" s="12" t="s">
        <v>40</v>
      </c>
      <c r="W165" s="12">
        <v>18</v>
      </c>
    </row>
    <row r="166" spans="1:23" s="12" customFormat="1" ht="30.75" customHeight="1" thickTop="1" thickBot="1" x14ac:dyDescent="0.35">
      <c r="A166" s="32"/>
      <c r="D166" s="10"/>
      <c r="G166" s="13">
        <f t="shared" si="14"/>
        <v>165</v>
      </c>
      <c r="H166" s="18">
        <v>45700</v>
      </c>
      <c r="I166" s="15" t="s">
        <v>31</v>
      </c>
      <c r="J166" s="15">
        <v>3600</v>
      </c>
      <c r="K166" s="15">
        <v>20</v>
      </c>
      <c r="L166" s="15">
        <v>3384</v>
      </c>
      <c r="M166" s="16">
        <f t="shared" si="10"/>
        <v>169.2</v>
      </c>
      <c r="N166" s="15">
        <v>0</v>
      </c>
      <c r="O166" s="16">
        <f t="shared" si="11"/>
        <v>3600</v>
      </c>
      <c r="P166" s="15" t="s">
        <v>18</v>
      </c>
      <c r="Q166" s="15">
        <v>0.06</v>
      </c>
      <c r="R166" s="16">
        <f t="shared" si="12"/>
        <v>216</v>
      </c>
      <c r="S166" s="15">
        <v>0</v>
      </c>
      <c r="T166" s="15">
        <v>0</v>
      </c>
      <c r="U166" s="17">
        <f t="shared" si="13"/>
        <v>216</v>
      </c>
      <c r="V166" s="12" t="s">
        <v>40</v>
      </c>
      <c r="W166" s="12">
        <v>18</v>
      </c>
    </row>
    <row r="167" spans="1:23" s="12" customFormat="1" ht="30.75" customHeight="1" thickTop="1" thickBot="1" x14ac:dyDescent="0.35">
      <c r="A167" s="32"/>
      <c r="D167" s="10"/>
      <c r="G167" s="13">
        <f t="shared" si="14"/>
        <v>166</v>
      </c>
      <c r="H167" s="18">
        <v>45703</v>
      </c>
      <c r="I167" s="15" t="s">
        <v>30</v>
      </c>
      <c r="J167" s="15">
        <v>57024</v>
      </c>
      <c r="K167" s="15">
        <v>200</v>
      </c>
      <c r="L167" s="15">
        <v>45579.28</v>
      </c>
      <c r="M167" s="16">
        <f t="shared" si="10"/>
        <v>227.8964</v>
      </c>
      <c r="N167" s="15">
        <v>0</v>
      </c>
      <c r="O167" s="16">
        <f t="shared" si="11"/>
        <v>57024</v>
      </c>
      <c r="P167" s="15" t="s">
        <v>18</v>
      </c>
      <c r="Q167" s="15">
        <v>0.06</v>
      </c>
      <c r="R167" s="16">
        <f t="shared" si="12"/>
        <v>3421.44</v>
      </c>
      <c r="S167" s="15">
        <v>0</v>
      </c>
      <c r="T167" s="15">
        <v>0</v>
      </c>
      <c r="U167" s="17">
        <f t="shared" si="13"/>
        <v>3421.44</v>
      </c>
      <c r="V167" s="12" t="s">
        <v>40</v>
      </c>
      <c r="W167" s="12">
        <v>19</v>
      </c>
    </row>
    <row r="168" spans="1:23" s="12" customFormat="1" ht="30.75" customHeight="1" thickTop="1" thickBot="1" x14ac:dyDescent="0.35">
      <c r="A168" s="32"/>
      <c r="D168" s="10"/>
      <c r="G168" s="13">
        <f t="shared" si="14"/>
        <v>167</v>
      </c>
      <c r="H168" s="18">
        <v>45703</v>
      </c>
      <c r="I168" s="15" t="s">
        <v>17</v>
      </c>
      <c r="J168" s="15">
        <v>28512</v>
      </c>
      <c r="K168" s="15">
        <v>100</v>
      </c>
      <c r="L168" s="15">
        <v>45579.28</v>
      </c>
      <c r="M168" s="16">
        <f t="shared" si="10"/>
        <v>455.7928</v>
      </c>
      <c r="N168" s="15">
        <v>0</v>
      </c>
      <c r="O168" s="16">
        <f t="shared" si="11"/>
        <v>28512</v>
      </c>
      <c r="P168" s="15" t="s">
        <v>18</v>
      </c>
      <c r="Q168" s="15">
        <v>0.06</v>
      </c>
      <c r="R168" s="16">
        <f t="shared" si="12"/>
        <v>1710.72</v>
      </c>
      <c r="S168" s="15">
        <v>0</v>
      </c>
      <c r="T168" s="15">
        <v>0</v>
      </c>
      <c r="U168" s="17">
        <f t="shared" si="13"/>
        <v>1710.72</v>
      </c>
      <c r="V168" s="12" t="s">
        <v>40</v>
      </c>
      <c r="W168" s="12">
        <v>19</v>
      </c>
    </row>
    <row r="169" spans="1:23" s="12" customFormat="1" ht="30.75" customHeight="1" thickTop="1" thickBot="1" x14ac:dyDescent="0.35">
      <c r="A169" s="32"/>
      <c r="D169" s="10"/>
      <c r="G169" s="13">
        <f t="shared" si="14"/>
        <v>168</v>
      </c>
      <c r="H169" s="18">
        <v>45703</v>
      </c>
      <c r="I169" s="15" t="s">
        <v>35</v>
      </c>
      <c r="J169" s="15">
        <v>5256</v>
      </c>
      <c r="K169" s="15">
        <v>30</v>
      </c>
      <c r="L169" s="15">
        <v>4940.6400000000003</v>
      </c>
      <c r="M169" s="16">
        <f t="shared" si="10"/>
        <v>164.68800000000002</v>
      </c>
      <c r="N169" s="15">
        <v>0</v>
      </c>
      <c r="O169" s="16">
        <f t="shared" si="11"/>
        <v>5256</v>
      </c>
      <c r="P169" s="15" t="s">
        <v>18</v>
      </c>
      <c r="Q169" s="15">
        <v>0.06</v>
      </c>
      <c r="R169" s="16">
        <f t="shared" si="12"/>
        <v>315.36</v>
      </c>
      <c r="S169" s="15">
        <v>0</v>
      </c>
      <c r="T169" s="15">
        <v>0</v>
      </c>
      <c r="U169" s="17">
        <f t="shared" si="13"/>
        <v>315.36</v>
      </c>
      <c r="V169" s="12" t="s">
        <v>40</v>
      </c>
      <c r="W169" s="12">
        <v>19</v>
      </c>
    </row>
    <row r="170" spans="1:23" s="12" customFormat="1" ht="30.75" customHeight="1" thickTop="1" thickBot="1" x14ac:dyDescent="0.35">
      <c r="A170" s="32"/>
      <c r="D170" s="10"/>
      <c r="G170" s="13">
        <f t="shared" si="14"/>
        <v>169</v>
      </c>
      <c r="H170" s="18">
        <v>45703</v>
      </c>
      <c r="I170" s="15" t="s">
        <v>20</v>
      </c>
      <c r="J170" s="15">
        <v>576</v>
      </c>
      <c r="K170" s="15">
        <v>2</v>
      </c>
      <c r="L170" s="15">
        <v>541.44000000000005</v>
      </c>
      <c r="M170" s="16">
        <f t="shared" si="10"/>
        <v>270.72000000000003</v>
      </c>
      <c r="N170" s="15">
        <v>0</v>
      </c>
      <c r="O170" s="16">
        <f t="shared" si="11"/>
        <v>576</v>
      </c>
      <c r="P170" s="15" t="s">
        <v>18</v>
      </c>
      <c r="Q170" s="15">
        <v>0.06</v>
      </c>
      <c r="R170" s="16">
        <f t="shared" si="12"/>
        <v>34.56</v>
      </c>
      <c r="S170" s="15">
        <v>0</v>
      </c>
      <c r="T170" s="15">
        <v>0</v>
      </c>
      <c r="U170" s="17">
        <f t="shared" si="13"/>
        <v>34.56</v>
      </c>
      <c r="V170" s="12" t="s">
        <v>40</v>
      </c>
      <c r="W170" s="12">
        <v>19</v>
      </c>
    </row>
    <row r="171" spans="1:23" s="12" customFormat="1" ht="30.75" customHeight="1" thickTop="1" thickBot="1" x14ac:dyDescent="0.35">
      <c r="A171" s="32"/>
      <c r="D171" s="10"/>
      <c r="G171" s="13">
        <f t="shared" si="14"/>
        <v>170</v>
      </c>
      <c r="H171" s="18">
        <v>45703</v>
      </c>
      <c r="I171" s="15" t="s">
        <v>21</v>
      </c>
      <c r="J171" s="15">
        <v>2232</v>
      </c>
      <c r="K171" s="15">
        <v>10</v>
      </c>
      <c r="L171" s="15">
        <v>2098.08</v>
      </c>
      <c r="M171" s="16">
        <f t="shared" si="10"/>
        <v>209.80799999999999</v>
      </c>
      <c r="N171" s="15">
        <v>0</v>
      </c>
      <c r="O171" s="16">
        <f t="shared" si="11"/>
        <v>2232</v>
      </c>
      <c r="P171" s="15" t="s">
        <v>18</v>
      </c>
      <c r="Q171" s="15">
        <v>0.06</v>
      </c>
      <c r="R171" s="16">
        <f t="shared" si="12"/>
        <v>133.91999999999999</v>
      </c>
      <c r="S171" s="15">
        <v>0</v>
      </c>
      <c r="T171" s="15">
        <v>0</v>
      </c>
      <c r="U171" s="17">
        <f t="shared" si="13"/>
        <v>133.91999999999999</v>
      </c>
      <c r="V171" s="12" t="s">
        <v>40</v>
      </c>
      <c r="W171" s="12">
        <v>19</v>
      </c>
    </row>
    <row r="172" spans="1:23" s="12" customFormat="1" ht="30.75" customHeight="1" thickTop="1" thickBot="1" x14ac:dyDescent="0.35">
      <c r="A172" s="32"/>
      <c r="D172" s="10"/>
      <c r="G172" s="13">
        <f t="shared" si="14"/>
        <v>171</v>
      </c>
      <c r="H172" s="18">
        <v>45703</v>
      </c>
      <c r="I172" s="15" t="s">
        <v>22</v>
      </c>
      <c r="J172" s="15">
        <v>1346.25</v>
      </c>
      <c r="K172" s="15">
        <v>5</v>
      </c>
      <c r="L172" s="15">
        <v>1265.48</v>
      </c>
      <c r="M172" s="16">
        <f t="shared" si="10"/>
        <v>253.096</v>
      </c>
      <c r="N172" s="15">
        <v>0</v>
      </c>
      <c r="O172" s="16">
        <f t="shared" si="11"/>
        <v>1346.25</v>
      </c>
      <c r="P172" s="15" t="s">
        <v>18</v>
      </c>
      <c r="Q172" s="15">
        <v>0.06</v>
      </c>
      <c r="R172" s="16">
        <f t="shared" si="12"/>
        <v>80.774999999999991</v>
      </c>
      <c r="S172" s="15">
        <v>0</v>
      </c>
      <c r="T172" s="15">
        <v>0</v>
      </c>
      <c r="U172" s="17">
        <f t="shared" si="13"/>
        <v>80.774999999999991</v>
      </c>
      <c r="V172" s="12" t="s">
        <v>40</v>
      </c>
      <c r="W172" s="12">
        <v>19</v>
      </c>
    </row>
    <row r="173" spans="1:23" s="12" customFormat="1" ht="30.75" customHeight="1" thickTop="1" thickBot="1" x14ac:dyDescent="0.35">
      <c r="A173" s="32"/>
      <c r="D173" s="10"/>
      <c r="G173" s="13">
        <f t="shared" si="14"/>
        <v>172</v>
      </c>
      <c r="H173" s="18">
        <v>45703</v>
      </c>
      <c r="I173" s="15" t="s">
        <v>31</v>
      </c>
      <c r="J173" s="15">
        <v>3600</v>
      </c>
      <c r="K173" s="15">
        <v>20</v>
      </c>
      <c r="L173" s="15">
        <v>3384</v>
      </c>
      <c r="M173" s="16">
        <f t="shared" si="10"/>
        <v>169.2</v>
      </c>
      <c r="N173" s="15">
        <v>0</v>
      </c>
      <c r="O173" s="16">
        <f t="shared" si="11"/>
        <v>3600</v>
      </c>
      <c r="P173" s="15" t="s">
        <v>18</v>
      </c>
      <c r="Q173" s="15">
        <v>0.06</v>
      </c>
      <c r="R173" s="16">
        <f t="shared" si="12"/>
        <v>216</v>
      </c>
      <c r="S173" s="15">
        <v>0</v>
      </c>
      <c r="T173" s="15">
        <v>0</v>
      </c>
      <c r="U173" s="17">
        <f t="shared" si="13"/>
        <v>216</v>
      </c>
      <c r="V173" s="12" t="s">
        <v>40</v>
      </c>
      <c r="W173" s="12">
        <v>19</v>
      </c>
    </row>
    <row r="174" spans="1:23" s="12" customFormat="1" ht="30.75" customHeight="1" thickTop="1" thickBot="1" x14ac:dyDescent="0.35">
      <c r="A174" s="32"/>
      <c r="D174" s="10"/>
      <c r="G174" s="13">
        <f t="shared" si="14"/>
        <v>173</v>
      </c>
      <c r="H174" s="18">
        <v>45703</v>
      </c>
      <c r="I174" s="15" t="s">
        <v>36</v>
      </c>
      <c r="J174" s="15">
        <v>610</v>
      </c>
      <c r="K174" s="15">
        <v>2</v>
      </c>
      <c r="L174" s="15">
        <v>573.48</v>
      </c>
      <c r="M174" s="16">
        <f t="shared" si="10"/>
        <v>286.74</v>
      </c>
      <c r="N174" s="15">
        <v>0</v>
      </c>
      <c r="O174" s="16">
        <f t="shared" si="11"/>
        <v>610</v>
      </c>
      <c r="P174" s="15" t="s">
        <v>18</v>
      </c>
      <c r="Q174" s="15">
        <v>0.06</v>
      </c>
      <c r="R174" s="16">
        <f t="shared" si="12"/>
        <v>36.6</v>
      </c>
      <c r="S174" s="15">
        <v>0</v>
      </c>
      <c r="T174" s="15">
        <v>0</v>
      </c>
      <c r="U174" s="17">
        <f t="shared" si="13"/>
        <v>36.6</v>
      </c>
      <c r="V174" s="12" t="s">
        <v>40</v>
      </c>
      <c r="W174" s="12">
        <v>19</v>
      </c>
    </row>
    <row r="175" spans="1:23" s="12" customFormat="1" ht="30.75" customHeight="1" thickTop="1" thickBot="1" x14ac:dyDescent="0.35">
      <c r="A175" s="32"/>
      <c r="D175" s="10"/>
      <c r="G175" s="13">
        <f t="shared" si="14"/>
        <v>174</v>
      </c>
      <c r="H175" s="18">
        <v>45703</v>
      </c>
      <c r="I175" s="15" t="s">
        <v>37</v>
      </c>
      <c r="J175" s="15">
        <v>38859.75</v>
      </c>
      <c r="K175" s="15">
        <v>75</v>
      </c>
      <c r="L175" s="15">
        <v>37305.360000000001</v>
      </c>
      <c r="M175" s="16">
        <f t="shared" si="10"/>
        <v>497.40480000000002</v>
      </c>
      <c r="N175" s="15">
        <v>0</v>
      </c>
      <c r="O175" s="16">
        <f t="shared" si="11"/>
        <v>38859.75</v>
      </c>
      <c r="P175" s="15" t="s">
        <v>29</v>
      </c>
      <c r="Q175" s="15">
        <v>0.02</v>
      </c>
      <c r="R175" s="16">
        <f t="shared" si="12"/>
        <v>777.19500000000005</v>
      </c>
      <c r="S175" s="15">
        <v>0</v>
      </c>
      <c r="T175" s="15">
        <v>0</v>
      </c>
      <c r="U175" s="17">
        <f t="shared" si="13"/>
        <v>777.19500000000005</v>
      </c>
      <c r="V175" s="12" t="s">
        <v>40</v>
      </c>
      <c r="W175" s="12">
        <v>19</v>
      </c>
    </row>
    <row r="176" spans="1:23" s="12" customFormat="1" ht="30.75" customHeight="1" thickTop="1" thickBot="1" x14ac:dyDescent="0.35">
      <c r="A176" s="32"/>
      <c r="D176" s="10"/>
      <c r="G176" s="13">
        <f t="shared" si="14"/>
        <v>175</v>
      </c>
      <c r="H176" s="18">
        <v>45703</v>
      </c>
      <c r="I176" s="15" t="s">
        <v>28</v>
      </c>
      <c r="J176" s="15">
        <v>39750.75</v>
      </c>
      <c r="K176" s="15">
        <v>75</v>
      </c>
      <c r="L176" s="15">
        <v>37365.71</v>
      </c>
      <c r="M176" s="16">
        <f t="shared" si="10"/>
        <v>498.20946666666663</v>
      </c>
      <c r="N176" s="15">
        <v>0</v>
      </c>
      <c r="O176" s="16">
        <f t="shared" si="11"/>
        <v>39750.75</v>
      </c>
      <c r="P176" s="15" t="s">
        <v>29</v>
      </c>
      <c r="Q176" s="15">
        <v>0.02</v>
      </c>
      <c r="R176" s="16">
        <f t="shared" si="12"/>
        <v>795.01499999999999</v>
      </c>
      <c r="S176" s="15">
        <v>0</v>
      </c>
      <c r="T176" s="15">
        <v>0</v>
      </c>
      <c r="U176" s="17">
        <f t="shared" si="13"/>
        <v>795.01499999999999</v>
      </c>
      <c r="V176" s="12" t="s">
        <v>40</v>
      </c>
      <c r="W176" s="12">
        <v>19</v>
      </c>
    </row>
    <row r="177" spans="1:23" s="12" customFormat="1" ht="30.75" customHeight="1" thickTop="1" thickBot="1" x14ac:dyDescent="0.35">
      <c r="A177" s="32"/>
      <c r="D177" s="10"/>
      <c r="G177" s="13">
        <f t="shared" si="14"/>
        <v>176</v>
      </c>
      <c r="H177" s="18">
        <v>45705</v>
      </c>
      <c r="I177" s="15" t="s">
        <v>45</v>
      </c>
      <c r="J177" s="15">
        <v>6030</v>
      </c>
      <c r="K177" s="15">
        <v>10</v>
      </c>
      <c r="L177" s="15">
        <v>5402.88</v>
      </c>
      <c r="M177" s="16">
        <f t="shared" si="10"/>
        <v>540.28800000000001</v>
      </c>
      <c r="N177" s="15">
        <v>0</v>
      </c>
      <c r="O177" s="16">
        <f t="shared" si="11"/>
        <v>6030</v>
      </c>
      <c r="P177" s="15" t="s">
        <v>33</v>
      </c>
      <c r="Q177" s="15">
        <v>0.01</v>
      </c>
      <c r="R177" s="16">
        <f t="shared" si="12"/>
        <v>60.300000000000004</v>
      </c>
      <c r="S177" s="15">
        <v>0</v>
      </c>
      <c r="T177" s="15">
        <v>0</v>
      </c>
      <c r="U177" s="17">
        <f t="shared" si="13"/>
        <v>60.300000000000004</v>
      </c>
      <c r="V177" s="12" t="s">
        <v>40</v>
      </c>
      <c r="W177" s="12">
        <v>20</v>
      </c>
    </row>
    <row r="178" spans="1:23" s="12" customFormat="1" ht="30.75" customHeight="1" thickTop="1" thickBot="1" x14ac:dyDescent="0.35">
      <c r="A178" s="32"/>
      <c r="D178" s="10"/>
      <c r="G178" s="13">
        <f t="shared" si="14"/>
        <v>177</v>
      </c>
      <c r="H178" s="18">
        <v>45705</v>
      </c>
      <c r="I178" s="15" t="s">
        <v>30</v>
      </c>
      <c r="J178" s="15">
        <v>42768</v>
      </c>
      <c r="K178" s="15">
        <v>150</v>
      </c>
      <c r="L178" s="15">
        <v>34184.46</v>
      </c>
      <c r="M178" s="16">
        <f t="shared" si="10"/>
        <v>227.8964</v>
      </c>
      <c r="N178" s="15">
        <v>0</v>
      </c>
      <c r="O178" s="16">
        <f t="shared" si="11"/>
        <v>42768</v>
      </c>
      <c r="P178" s="15" t="s">
        <v>18</v>
      </c>
      <c r="Q178" s="15">
        <v>0.06</v>
      </c>
      <c r="R178" s="16">
        <f t="shared" si="12"/>
        <v>2566.08</v>
      </c>
      <c r="S178" s="15">
        <v>0</v>
      </c>
      <c r="T178" s="15">
        <v>0</v>
      </c>
      <c r="U178" s="17">
        <f t="shared" si="13"/>
        <v>2566.08</v>
      </c>
      <c r="V178" s="12" t="s">
        <v>40</v>
      </c>
      <c r="W178" s="12">
        <v>125</v>
      </c>
    </row>
    <row r="179" spans="1:23" s="12" customFormat="1" ht="30.75" customHeight="1" thickTop="1" thickBot="1" x14ac:dyDescent="0.35">
      <c r="A179" s="32"/>
      <c r="D179" s="10"/>
      <c r="G179" s="13">
        <f t="shared" si="14"/>
        <v>178</v>
      </c>
      <c r="H179" s="18">
        <v>45705</v>
      </c>
      <c r="I179" s="15" t="s">
        <v>17</v>
      </c>
      <c r="J179" s="15">
        <v>28512</v>
      </c>
      <c r="K179" s="15">
        <v>100</v>
      </c>
      <c r="L179" s="15">
        <v>22789.64</v>
      </c>
      <c r="M179" s="16">
        <f t="shared" si="10"/>
        <v>227.8964</v>
      </c>
      <c r="N179" s="15">
        <v>0</v>
      </c>
      <c r="O179" s="16">
        <f t="shared" si="11"/>
        <v>28512</v>
      </c>
      <c r="P179" s="15" t="s">
        <v>18</v>
      </c>
      <c r="Q179" s="15">
        <v>0.06</v>
      </c>
      <c r="R179" s="16">
        <f t="shared" si="12"/>
        <v>1710.72</v>
      </c>
      <c r="S179" s="15">
        <v>0</v>
      </c>
      <c r="T179" s="15">
        <v>0</v>
      </c>
      <c r="U179" s="17">
        <f t="shared" si="13"/>
        <v>1710.72</v>
      </c>
      <c r="V179" s="12" t="s">
        <v>40</v>
      </c>
      <c r="W179" s="12">
        <v>125</v>
      </c>
    </row>
    <row r="180" spans="1:23" s="12" customFormat="1" ht="30.75" customHeight="1" thickTop="1" thickBot="1" x14ac:dyDescent="0.35">
      <c r="A180" s="32"/>
      <c r="D180" s="10"/>
      <c r="G180" s="13">
        <f t="shared" si="14"/>
        <v>179</v>
      </c>
      <c r="H180" s="18">
        <v>45705</v>
      </c>
      <c r="I180" s="15" t="s">
        <v>20</v>
      </c>
      <c r="J180" s="15">
        <v>1440</v>
      </c>
      <c r="K180" s="15">
        <v>5</v>
      </c>
      <c r="L180" s="15">
        <v>1353.6</v>
      </c>
      <c r="M180" s="16">
        <f t="shared" si="10"/>
        <v>270.71999999999997</v>
      </c>
      <c r="N180" s="15">
        <v>0</v>
      </c>
      <c r="O180" s="16">
        <f t="shared" si="11"/>
        <v>1440</v>
      </c>
      <c r="P180" s="15" t="s">
        <v>18</v>
      </c>
      <c r="Q180" s="15">
        <v>0.06</v>
      </c>
      <c r="R180" s="16">
        <f t="shared" si="12"/>
        <v>86.399999999999991</v>
      </c>
      <c r="S180" s="15">
        <v>0</v>
      </c>
      <c r="T180" s="15">
        <v>0</v>
      </c>
      <c r="U180" s="17">
        <f t="shared" si="13"/>
        <v>86.399999999999991</v>
      </c>
      <c r="V180" s="12" t="s">
        <v>40</v>
      </c>
      <c r="W180" s="12">
        <v>125</v>
      </c>
    </row>
    <row r="181" spans="1:23" s="12" customFormat="1" ht="30.75" customHeight="1" thickTop="1" thickBot="1" x14ac:dyDescent="0.35">
      <c r="A181" s="32"/>
      <c r="D181" s="10"/>
      <c r="G181" s="13">
        <f t="shared" si="14"/>
        <v>180</v>
      </c>
      <c r="H181" s="18">
        <v>45705</v>
      </c>
      <c r="I181" s="15" t="s">
        <v>21</v>
      </c>
      <c r="J181" s="15">
        <v>3348</v>
      </c>
      <c r="K181" s="15">
        <v>15</v>
      </c>
      <c r="L181" s="15">
        <v>3147.12</v>
      </c>
      <c r="M181" s="16">
        <f t="shared" si="10"/>
        <v>209.80799999999999</v>
      </c>
      <c r="N181" s="15">
        <v>0</v>
      </c>
      <c r="O181" s="16">
        <f t="shared" si="11"/>
        <v>3348</v>
      </c>
      <c r="P181" s="15" t="s">
        <v>18</v>
      </c>
      <c r="Q181" s="15">
        <v>0.06</v>
      </c>
      <c r="R181" s="16">
        <f t="shared" si="12"/>
        <v>200.88</v>
      </c>
      <c r="S181" s="15">
        <v>0</v>
      </c>
      <c r="T181" s="15">
        <v>0</v>
      </c>
      <c r="U181" s="17">
        <f t="shared" si="13"/>
        <v>200.88</v>
      </c>
      <c r="V181" s="12" t="s">
        <v>40</v>
      </c>
      <c r="W181" s="12">
        <v>125</v>
      </c>
    </row>
    <row r="182" spans="1:23" s="12" customFormat="1" ht="30.75" customHeight="1" thickTop="1" thickBot="1" x14ac:dyDescent="0.35">
      <c r="A182" s="32"/>
      <c r="D182" s="10"/>
      <c r="G182" s="13">
        <f t="shared" si="14"/>
        <v>181</v>
      </c>
      <c r="H182" s="18">
        <v>45705</v>
      </c>
      <c r="I182" s="15" t="s">
        <v>22</v>
      </c>
      <c r="J182" s="15">
        <v>1077</v>
      </c>
      <c r="K182" s="15">
        <v>4</v>
      </c>
      <c r="L182" s="15">
        <v>1012.38</v>
      </c>
      <c r="M182" s="16">
        <f t="shared" si="10"/>
        <v>253.095</v>
      </c>
      <c r="N182" s="15">
        <v>0</v>
      </c>
      <c r="O182" s="16">
        <f t="shared" si="11"/>
        <v>1077</v>
      </c>
      <c r="P182" s="15" t="s">
        <v>18</v>
      </c>
      <c r="Q182" s="15">
        <v>0.06</v>
      </c>
      <c r="R182" s="16">
        <f t="shared" si="12"/>
        <v>64.62</v>
      </c>
      <c r="S182" s="15">
        <v>0</v>
      </c>
      <c r="T182" s="15">
        <v>0</v>
      </c>
      <c r="U182" s="17">
        <f t="shared" si="13"/>
        <v>64.62</v>
      </c>
      <c r="V182" s="12" t="s">
        <v>40</v>
      </c>
      <c r="W182" s="12">
        <v>125</v>
      </c>
    </row>
    <row r="183" spans="1:23" s="12" customFormat="1" ht="30.75" customHeight="1" thickTop="1" thickBot="1" x14ac:dyDescent="0.35">
      <c r="A183" s="32"/>
      <c r="D183" s="10"/>
      <c r="G183" s="13">
        <f t="shared" si="14"/>
        <v>182</v>
      </c>
      <c r="H183" s="18">
        <v>45705</v>
      </c>
      <c r="I183" s="15" t="s">
        <v>23</v>
      </c>
      <c r="J183" s="15">
        <v>18000</v>
      </c>
      <c r="K183" s="15">
        <v>100</v>
      </c>
      <c r="L183" s="15">
        <v>16920</v>
      </c>
      <c r="M183" s="16">
        <f t="shared" si="10"/>
        <v>169.2</v>
      </c>
      <c r="N183" s="15">
        <v>0</v>
      </c>
      <c r="O183" s="16">
        <f t="shared" si="11"/>
        <v>18000</v>
      </c>
      <c r="P183" s="15" t="s">
        <v>18</v>
      </c>
      <c r="Q183" s="15">
        <v>0.06</v>
      </c>
      <c r="R183" s="16">
        <f t="shared" si="12"/>
        <v>1080</v>
      </c>
      <c r="S183" s="15">
        <v>0</v>
      </c>
      <c r="T183" s="15">
        <v>0</v>
      </c>
      <c r="U183" s="17">
        <f t="shared" si="13"/>
        <v>1080</v>
      </c>
      <c r="V183" s="12" t="s">
        <v>40</v>
      </c>
      <c r="W183" s="12">
        <v>125</v>
      </c>
    </row>
    <row r="184" spans="1:23" s="12" customFormat="1" ht="30.75" customHeight="1" thickTop="1" thickBot="1" x14ac:dyDescent="0.35">
      <c r="A184" s="32"/>
      <c r="D184" s="10"/>
      <c r="G184" s="13">
        <f t="shared" si="14"/>
        <v>183</v>
      </c>
      <c r="H184" s="18">
        <v>45705</v>
      </c>
      <c r="I184" s="15" t="s">
        <v>24</v>
      </c>
      <c r="J184" s="15">
        <v>6100.8</v>
      </c>
      <c r="K184" s="15">
        <v>20</v>
      </c>
      <c r="L184" s="15">
        <v>5734.75</v>
      </c>
      <c r="M184" s="16">
        <f t="shared" si="10"/>
        <v>286.73750000000001</v>
      </c>
      <c r="N184" s="15">
        <v>0</v>
      </c>
      <c r="O184" s="16">
        <f t="shared" si="11"/>
        <v>6100.8</v>
      </c>
      <c r="P184" s="15" t="s">
        <v>18</v>
      </c>
      <c r="Q184" s="15">
        <v>0.06</v>
      </c>
      <c r="R184" s="16">
        <f t="shared" si="12"/>
        <v>366.048</v>
      </c>
      <c r="S184" s="15">
        <v>0</v>
      </c>
      <c r="T184" s="15">
        <v>0</v>
      </c>
      <c r="U184" s="17">
        <f t="shared" si="13"/>
        <v>366.048</v>
      </c>
      <c r="V184" s="12" t="s">
        <v>40</v>
      </c>
      <c r="W184" s="12">
        <v>125</v>
      </c>
    </row>
    <row r="185" spans="1:23" s="12" customFormat="1" ht="30.75" customHeight="1" thickTop="1" thickBot="1" x14ac:dyDescent="0.35">
      <c r="A185" s="32"/>
      <c r="D185" s="10"/>
      <c r="G185" s="13">
        <f t="shared" si="14"/>
        <v>184</v>
      </c>
      <c r="H185" s="18">
        <v>45705</v>
      </c>
      <c r="I185" s="15" t="s">
        <v>31</v>
      </c>
      <c r="J185" s="15">
        <v>3600</v>
      </c>
      <c r="K185" s="15">
        <v>20</v>
      </c>
      <c r="L185" s="15">
        <v>3384</v>
      </c>
      <c r="M185" s="16">
        <f t="shared" si="10"/>
        <v>169.2</v>
      </c>
      <c r="N185" s="15">
        <v>0</v>
      </c>
      <c r="O185" s="16">
        <f t="shared" si="11"/>
        <v>3600</v>
      </c>
      <c r="P185" s="15" t="s">
        <v>18</v>
      </c>
      <c r="Q185" s="15">
        <v>0.06</v>
      </c>
      <c r="R185" s="16">
        <f t="shared" si="12"/>
        <v>216</v>
      </c>
      <c r="S185" s="15">
        <v>0</v>
      </c>
      <c r="T185" s="15">
        <v>0</v>
      </c>
      <c r="U185" s="17">
        <f t="shared" si="13"/>
        <v>216</v>
      </c>
      <c r="V185" s="12" t="s">
        <v>40</v>
      </c>
      <c r="W185" s="12">
        <v>125</v>
      </c>
    </row>
    <row r="186" spans="1:23" s="12" customFormat="1" ht="30.75" customHeight="1" thickTop="1" thickBot="1" x14ac:dyDescent="0.35">
      <c r="A186" s="32"/>
      <c r="D186" s="10"/>
      <c r="G186" s="13">
        <f t="shared" si="14"/>
        <v>185</v>
      </c>
      <c r="H186" s="18">
        <v>45705</v>
      </c>
      <c r="I186" s="15" t="s">
        <v>36</v>
      </c>
      <c r="J186" s="15">
        <v>610.08000000000004</v>
      </c>
      <c r="K186" s="15">
        <v>2</v>
      </c>
      <c r="L186" s="15">
        <v>573.48</v>
      </c>
      <c r="M186" s="16">
        <f t="shared" si="10"/>
        <v>286.74</v>
      </c>
      <c r="N186" s="15">
        <v>0</v>
      </c>
      <c r="O186" s="16">
        <f t="shared" si="11"/>
        <v>610.08000000000004</v>
      </c>
      <c r="P186" s="15" t="s">
        <v>18</v>
      </c>
      <c r="Q186" s="15">
        <v>0.06</v>
      </c>
      <c r="R186" s="16">
        <f t="shared" si="12"/>
        <v>36.604800000000004</v>
      </c>
      <c r="S186" s="15">
        <v>0</v>
      </c>
      <c r="T186" s="15">
        <v>0</v>
      </c>
      <c r="U186" s="17">
        <f t="shared" si="13"/>
        <v>36.604800000000004</v>
      </c>
      <c r="V186" s="12" t="s">
        <v>40</v>
      </c>
      <c r="W186" s="12">
        <v>125</v>
      </c>
    </row>
    <row r="187" spans="1:23" s="12" customFormat="1" ht="30.75" customHeight="1" thickTop="1" thickBot="1" x14ac:dyDescent="0.35">
      <c r="A187" s="32"/>
      <c r="D187" s="10"/>
      <c r="G187" s="13">
        <f t="shared" si="14"/>
        <v>186</v>
      </c>
      <c r="H187" s="18">
        <v>45707</v>
      </c>
      <c r="I187" s="15" t="s">
        <v>25</v>
      </c>
      <c r="J187" s="15">
        <v>12004</v>
      </c>
      <c r="K187" s="15">
        <v>50</v>
      </c>
      <c r="L187" s="15">
        <v>9510.77</v>
      </c>
      <c r="M187" s="16">
        <f t="shared" si="10"/>
        <v>190.21540000000002</v>
      </c>
      <c r="N187" s="15">
        <v>0</v>
      </c>
      <c r="O187" s="16">
        <f t="shared" si="11"/>
        <v>12004</v>
      </c>
      <c r="P187" s="15" t="s">
        <v>26</v>
      </c>
      <c r="Q187" s="15">
        <v>0.02</v>
      </c>
      <c r="R187" s="16">
        <f t="shared" si="12"/>
        <v>240.08</v>
      </c>
      <c r="S187" s="15">
        <v>0</v>
      </c>
      <c r="T187" s="15">
        <v>0</v>
      </c>
      <c r="U187" s="17">
        <f t="shared" si="13"/>
        <v>240.08</v>
      </c>
      <c r="V187" s="12" t="s">
        <v>40</v>
      </c>
      <c r="W187" s="12">
        <v>125</v>
      </c>
    </row>
    <row r="188" spans="1:23" s="12" customFormat="1" ht="30.75" customHeight="1" thickTop="1" thickBot="1" x14ac:dyDescent="0.35">
      <c r="A188" s="32"/>
      <c r="D188" s="10"/>
      <c r="G188" s="13">
        <f t="shared" si="14"/>
        <v>187</v>
      </c>
      <c r="H188" s="18">
        <v>45707</v>
      </c>
      <c r="I188" s="15" t="s">
        <v>30</v>
      </c>
      <c r="J188" s="15">
        <v>21384</v>
      </c>
      <c r="K188" s="15">
        <v>75</v>
      </c>
      <c r="L188" s="15">
        <v>17092.23</v>
      </c>
      <c r="M188" s="16">
        <f t="shared" si="10"/>
        <v>227.8964</v>
      </c>
      <c r="N188" s="15">
        <v>0</v>
      </c>
      <c r="O188" s="16">
        <f t="shared" si="11"/>
        <v>21384</v>
      </c>
      <c r="P188" s="15" t="s">
        <v>18</v>
      </c>
      <c r="Q188" s="15">
        <v>0.06</v>
      </c>
      <c r="R188" s="16">
        <f t="shared" si="12"/>
        <v>1283.04</v>
      </c>
      <c r="S188" s="15">
        <v>0</v>
      </c>
      <c r="T188" s="15">
        <v>0</v>
      </c>
      <c r="U188" s="17">
        <f t="shared" si="13"/>
        <v>1283.04</v>
      </c>
      <c r="V188" s="12" t="s">
        <v>40</v>
      </c>
      <c r="W188" s="12">
        <v>21</v>
      </c>
    </row>
    <row r="189" spans="1:23" s="12" customFormat="1" ht="30.75" customHeight="1" thickTop="1" thickBot="1" x14ac:dyDescent="0.35">
      <c r="A189" s="32"/>
      <c r="D189" s="10"/>
      <c r="G189" s="13">
        <f t="shared" si="14"/>
        <v>188</v>
      </c>
      <c r="H189" s="18">
        <v>45707</v>
      </c>
      <c r="I189" s="15" t="s">
        <v>17</v>
      </c>
      <c r="J189" s="15">
        <v>42768</v>
      </c>
      <c r="K189" s="15">
        <v>150</v>
      </c>
      <c r="L189" s="15">
        <v>34184.46</v>
      </c>
      <c r="M189" s="16">
        <f t="shared" si="10"/>
        <v>227.8964</v>
      </c>
      <c r="N189" s="15">
        <v>0</v>
      </c>
      <c r="O189" s="16">
        <f t="shared" si="11"/>
        <v>42768</v>
      </c>
      <c r="P189" s="15" t="s">
        <v>18</v>
      </c>
      <c r="Q189" s="15">
        <v>0.06</v>
      </c>
      <c r="R189" s="16">
        <f t="shared" si="12"/>
        <v>2566.08</v>
      </c>
      <c r="S189" s="15">
        <v>0</v>
      </c>
      <c r="T189" s="15">
        <v>0</v>
      </c>
      <c r="U189" s="17">
        <f t="shared" si="13"/>
        <v>2566.08</v>
      </c>
      <c r="V189" s="12" t="s">
        <v>40</v>
      </c>
      <c r="W189" s="12">
        <v>21</v>
      </c>
    </row>
    <row r="190" spans="1:23" s="12" customFormat="1" ht="30.75" customHeight="1" thickTop="1" thickBot="1" x14ac:dyDescent="0.35">
      <c r="A190" s="32"/>
      <c r="D190" s="10"/>
      <c r="G190" s="13">
        <f t="shared" si="14"/>
        <v>189</v>
      </c>
      <c r="H190" s="18">
        <v>45707</v>
      </c>
      <c r="I190" s="15" t="s">
        <v>20</v>
      </c>
      <c r="J190" s="15">
        <v>576</v>
      </c>
      <c r="K190" s="15">
        <v>2</v>
      </c>
      <c r="L190" s="15">
        <v>541.44000000000005</v>
      </c>
      <c r="M190" s="16">
        <f t="shared" si="10"/>
        <v>270.72000000000003</v>
      </c>
      <c r="N190" s="15">
        <v>0</v>
      </c>
      <c r="O190" s="16">
        <f t="shared" si="11"/>
        <v>576</v>
      </c>
      <c r="P190" s="15" t="s">
        <v>18</v>
      </c>
      <c r="Q190" s="15">
        <v>0.06</v>
      </c>
      <c r="R190" s="16">
        <f t="shared" si="12"/>
        <v>34.56</v>
      </c>
      <c r="S190" s="15">
        <v>-2306</v>
      </c>
      <c r="T190" s="15">
        <v>0</v>
      </c>
      <c r="U190" s="17">
        <f t="shared" si="13"/>
        <v>-2271.44</v>
      </c>
      <c r="V190" s="12" t="s">
        <v>40</v>
      </c>
      <c r="W190" s="12">
        <v>21</v>
      </c>
    </row>
    <row r="191" spans="1:23" s="12" customFormat="1" ht="30.75" customHeight="1" thickTop="1" thickBot="1" x14ac:dyDescent="0.35">
      <c r="A191" s="32"/>
      <c r="D191" s="10"/>
      <c r="G191" s="13">
        <f t="shared" si="14"/>
        <v>190</v>
      </c>
      <c r="H191" s="18">
        <v>45707</v>
      </c>
      <c r="I191" s="15" t="s">
        <v>23</v>
      </c>
      <c r="J191" s="15">
        <v>19800</v>
      </c>
      <c r="K191" s="15">
        <v>110</v>
      </c>
      <c r="L191" s="15">
        <v>18612</v>
      </c>
      <c r="M191" s="16">
        <f t="shared" si="10"/>
        <v>169.2</v>
      </c>
      <c r="N191" s="15">
        <v>0</v>
      </c>
      <c r="O191" s="16">
        <f t="shared" si="11"/>
        <v>19800</v>
      </c>
      <c r="P191" s="15" t="s">
        <v>18</v>
      </c>
      <c r="Q191" s="15">
        <v>0.06</v>
      </c>
      <c r="R191" s="16">
        <f t="shared" si="12"/>
        <v>1188</v>
      </c>
      <c r="S191" s="15">
        <v>13200</v>
      </c>
      <c r="T191" s="15">
        <v>0</v>
      </c>
      <c r="U191" s="17">
        <f t="shared" si="13"/>
        <v>14388</v>
      </c>
      <c r="V191" s="12" t="s">
        <v>40</v>
      </c>
      <c r="W191" s="12">
        <v>21</v>
      </c>
    </row>
    <row r="192" spans="1:23" s="12" customFormat="1" ht="30.75" customHeight="1" thickTop="1" thickBot="1" x14ac:dyDescent="0.35">
      <c r="A192" s="32"/>
      <c r="D192" s="10"/>
      <c r="G192" s="13">
        <f t="shared" si="14"/>
        <v>191</v>
      </c>
      <c r="H192" s="18">
        <v>45707</v>
      </c>
      <c r="I192" s="15" t="s">
        <v>24</v>
      </c>
      <c r="J192" s="15">
        <v>6100.8</v>
      </c>
      <c r="K192" s="15">
        <v>20</v>
      </c>
      <c r="L192" s="15">
        <v>5734.75</v>
      </c>
      <c r="M192" s="16">
        <f t="shared" si="10"/>
        <v>286.73750000000001</v>
      </c>
      <c r="N192" s="15">
        <v>0</v>
      </c>
      <c r="O192" s="16">
        <f t="shared" si="11"/>
        <v>6100.8</v>
      </c>
      <c r="P192" s="15" t="s">
        <v>18</v>
      </c>
      <c r="Q192" s="15">
        <v>0.06</v>
      </c>
      <c r="R192" s="16">
        <f t="shared" si="12"/>
        <v>366.048</v>
      </c>
      <c r="S192" s="15">
        <v>0</v>
      </c>
      <c r="T192" s="15">
        <v>0</v>
      </c>
      <c r="U192" s="17">
        <f t="shared" si="13"/>
        <v>366.048</v>
      </c>
      <c r="V192" s="12" t="s">
        <v>40</v>
      </c>
      <c r="W192" s="12">
        <v>21</v>
      </c>
    </row>
    <row r="193" spans="1:24" s="10" customFormat="1" ht="30.75" customHeight="1" thickTop="1" thickBot="1" x14ac:dyDescent="0.35">
      <c r="A193" s="33"/>
      <c r="G193" s="25">
        <f t="shared" si="14"/>
        <v>192</v>
      </c>
      <c r="H193" s="26">
        <v>45707</v>
      </c>
      <c r="I193" s="16" t="s">
        <v>31</v>
      </c>
      <c r="J193" s="16">
        <v>1800</v>
      </c>
      <c r="K193" s="16">
        <v>10</v>
      </c>
      <c r="L193" s="16">
        <v>1692</v>
      </c>
      <c r="M193" s="16">
        <f t="shared" si="10"/>
        <v>169.2</v>
      </c>
      <c r="N193" s="15">
        <v>0</v>
      </c>
      <c r="O193" s="16">
        <f t="shared" si="11"/>
        <v>1800</v>
      </c>
      <c r="P193" s="15" t="s">
        <v>18</v>
      </c>
      <c r="Q193" s="15">
        <v>0.06</v>
      </c>
      <c r="R193" s="16">
        <f t="shared" si="12"/>
        <v>108</v>
      </c>
      <c r="S193" s="15">
        <v>0</v>
      </c>
      <c r="T193" s="15">
        <v>0</v>
      </c>
      <c r="U193" s="17">
        <f t="shared" si="13"/>
        <v>108</v>
      </c>
      <c r="V193" s="12" t="s">
        <v>40</v>
      </c>
      <c r="W193" s="12">
        <v>21</v>
      </c>
    </row>
    <row r="194" spans="1:24" s="12" customFormat="1" ht="30.75" customHeight="1" thickTop="1" thickBot="1" x14ac:dyDescent="0.35">
      <c r="A194" s="32"/>
      <c r="D194" s="10"/>
      <c r="G194" s="13">
        <f t="shared" si="14"/>
        <v>193</v>
      </c>
      <c r="H194" s="18">
        <v>45712</v>
      </c>
      <c r="I194" s="15" t="s">
        <v>30</v>
      </c>
      <c r="J194" s="15">
        <v>8553.6</v>
      </c>
      <c r="K194" s="15">
        <v>30</v>
      </c>
      <c r="L194" s="15">
        <v>6836.89</v>
      </c>
      <c r="M194" s="16">
        <f t="shared" ref="M194:M257" si="15">IFERROR(L194/K194,"")</f>
        <v>227.89633333333333</v>
      </c>
      <c r="N194" s="15">
        <v>0</v>
      </c>
      <c r="O194" s="16">
        <f t="shared" ref="O194:O257" si="16">J194-N194</f>
        <v>8553.6</v>
      </c>
      <c r="P194" s="15" t="s">
        <v>18</v>
      </c>
      <c r="Q194" s="15">
        <v>0.06</v>
      </c>
      <c r="R194" s="16">
        <f t="shared" ref="R194:R257" si="17">J194*Q194</f>
        <v>513.21600000000001</v>
      </c>
      <c r="S194" s="15">
        <v>0</v>
      </c>
      <c r="T194" s="15">
        <v>0</v>
      </c>
      <c r="U194" s="17">
        <f t="shared" ref="U194:U257" si="18">T194+S194+R194</f>
        <v>513.21600000000001</v>
      </c>
      <c r="V194" s="12" t="s">
        <v>46</v>
      </c>
      <c r="W194" s="12">
        <v>22</v>
      </c>
    </row>
    <row r="195" spans="1:24" s="12" customFormat="1" ht="30.75" customHeight="1" thickTop="1" thickBot="1" x14ac:dyDescent="0.35">
      <c r="A195" s="32"/>
      <c r="D195" s="10"/>
      <c r="G195" s="13">
        <f t="shared" si="14"/>
        <v>194</v>
      </c>
      <c r="H195" s="18">
        <v>45712</v>
      </c>
      <c r="I195" s="15" t="s">
        <v>17</v>
      </c>
      <c r="J195" s="15">
        <v>19958.400000000001</v>
      </c>
      <c r="K195" s="15">
        <v>70</v>
      </c>
      <c r="L195" s="15">
        <v>15952.75</v>
      </c>
      <c r="M195" s="16">
        <f t="shared" si="15"/>
        <v>227.89642857142857</v>
      </c>
      <c r="N195" s="15">
        <v>0</v>
      </c>
      <c r="O195" s="16">
        <f t="shared" si="16"/>
        <v>19958.400000000001</v>
      </c>
      <c r="P195" s="15" t="s">
        <v>18</v>
      </c>
      <c r="Q195" s="15">
        <v>0.06</v>
      </c>
      <c r="R195" s="16">
        <f t="shared" si="17"/>
        <v>1197.5040000000001</v>
      </c>
      <c r="S195" s="15">
        <v>0</v>
      </c>
      <c r="T195" s="15">
        <v>0</v>
      </c>
      <c r="U195" s="17">
        <f t="shared" si="18"/>
        <v>1197.5040000000001</v>
      </c>
      <c r="V195" s="12" t="s">
        <v>46</v>
      </c>
      <c r="W195" s="12">
        <v>22</v>
      </c>
    </row>
    <row r="196" spans="1:24" s="12" customFormat="1" ht="30.75" customHeight="1" thickTop="1" thickBot="1" x14ac:dyDescent="0.35">
      <c r="A196" s="32"/>
      <c r="D196" s="10"/>
      <c r="G196" s="13">
        <f t="shared" ref="G196:G259" si="19">G195+1</f>
        <v>195</v>
      </c>
      <c r="H196" s="18">
        <v>45712</v>
      </c>
      <c r="I196" s="15" t="s">
        <v>21</v>
      </c>
      <c r="J196" s="15">
        <v>2232</v>
      </c>
      <c r="K196" s="15">
        <v>10</v>
      </c>
      <c r="L196" s="15">
        <v>2098.08</v>
      </c>
      <c r="M196" s="16">
        <f t="shared" si="15"/>
        <v>209.80799999999999</v>
      </c>
      <c r="N196" s="15">
        <v>0</v>
      </c>
      <c r="O196" s="16">
        <f t="shared" si="16"/>
        <v>2232</v>
      </c>
      <c r="P196" s="15" t="s">
        <v>18</v>
      </c>
      <c r="Q196" s="15">
        <v>0.06</v>
      </c>
      <c r="R196" s="16">
        <f t="shared" si="17"/>
        <v>133.91999999999999</v>
      </c>
      <c r="S196" s="15">
        <v>0</v>
      </c>
      <c r="T196" s="15">
        <v>0</v>
      </c>
      <c r="U196" s="17">
        <f t="shared" si="18"/>
        <v>133.91999999999999</v>
      </c>
      <c r="V196" s="12" t="s">
        <v>46</v>
      </c>
      <c r="W196" s="12">
        <v>22</v>
      </c>
    </row>
    <row r="197" spans="1:24" s="12" customFormat="1" ht="30.75" customHeight="1" thickTop="1" thickBot="1" x14ac:dyDescent="0.35">
      <c r="A197" s="32"/>
      <c r="D197" s="10"/>
      <c r="G197" s="13">
        <f t="shared" si="19"/>
        <v>196</v>
      </c>
      <c r="H197" s="18">
        <v>45712</v>
      </c>
      <c r="I197" s="15" t="s">
        <v>23</v>
      </c>
      <c r="J197" s="15">
        <v>18000</v>
      </c>
      <c r="K197" s="15">
        <v>100</v>
      </c>
      <c r="L197" s="15">
        <v>16920</v>
      </c>
      <c r="M197" s="16">
        <f t="shared" si="15"/>
        <v>169.2</v>
      </c>
      <c r="N197" s="15">
        <v>0</v>
      </c>
      <c r="O197" s="16">
        <f t="shared" si="16"/>
        <v>18000</v>
      </c>
      <c r="P197" s="15" t="s">
        <v>18</v>
      </c>
      <c r="Q197" s="15">
        <v>0.06</v>
      </c>
      <c r="R197" s="16">
        <f t="shared" si="17"/>
        <v>1080</v>
      </c>
      <c r="S197" s="15">
        <v>0</v>
      </c>
      <c r="T197" s="15">
        <v>0</v>
      </c>
      <c r="U197" s="17">
        <f t="shared" si="18"/>
        <v>1080</v>
      </c>
      <c r="V197" s="12" t="s">
        <v>46</v>
      </c>
      <c r="W197" s="12">
        <v>22</v>
      </c>
    </row>
    <row r="198" spans="1:24" s="12" customFormat="1" ht="30.75" customHeight="1" thickTop="1" thickBot="1" x14ac:dyDescent="0.35">
      <c r="A198" s="32"/>
      <c r="D198" s="10"/>
      <c r="G198" s="13">
        <f t="shared" si="19"/>
        <v>197</v>
      </c>
      <c r="H198" s="18">
        <v>45712</v>
      </c>
      <c r="I198" s="15" t="s">
        <v>31</v>
      </c>
      <c r="J198" s="15">
        <v>1800</v>
      </c>
      <c r="K198" s="15">
        <v>10</v>
      </c>
      <c r="L198" s="15">
        <v>1692</v>
      </c>
      <c r="M198" s="16">
        <f t="shared" si="15"/>
        <v>169.2</v>
      </c>
      <c r="N198" s="15">
        <v>0</v>
      </c>
      <c r="O198" s="16">
        <f t="shared" si="16"/>
        <v>1800</v>
      </c>
      <c r="P198" s="15" t="s">
        <v>18</v>
      </c>
      <c r="Q198" s="15">
        <v>0.06</v>
      </c>
      <c r="R198" s="16">
        <f t="shared" si="17"/>
        <v>108</v>
      </c>
      <c r="S198" s="15">
        <v>0</v>
      </c>
      <c r="T198" s="15">
        <v>0</v>
      </c>
      <c r="U198" s="17">
        <f t="shared" si="18"/>
        <v>108</v>
      </c>
      <c r="V198" s="12" t="s">
        <v>46</v>
      </c>
      <c r="W198" s="12">
        <v>22</v>
      </c>
      <c r="X198" s="10"/>
    </row>
    <row r="199" spans="1:24" s="12" customFormat="1" ht="30.75" customHeight="1" thickTop="1" thickBot="1" x14ac:dyDescent="0.35">
      <c r="A199" s="32"/>
      <c r="D199" s="10"/>
      <c r="G199" s="13">
        <f t="shared" si="19"/>
        <v>198</v>
      </c>
      <c r="H199" s="18">
        <v>45712</v>
      </c>
      <c r="I199" s="34" t="s">
        <v>30</v>
      </c>
      <c r="J199" s="34">
        <v>142560</v>
      </c>
      <c r="K199" s="34">
        <v>500</v>
      </c>
      <c r="L199" s="34">
        <v>98366.399999999994</v>
      </c>
      <c r="M199" s="16">
        <f t="shared" si="15"/>
        <v>196.7328</v>
      </c>
      <c r="N199" s="15">
        <v>0</v>
      </c>
      <c r="O199" s="16">
        <f t="shared" si="16"/>
        <v>142560</v>
      </c>
      <c r="P199" s="15" t="s">
        <v>18</v>
      </c>
      <c r="Q199" s="15">
        <v>0.06</v>
      </c>
      <c r="R199" s="16">
        <f t="shared" si="17"/>
        <v>8553.6</v>
      </c>
      <c r="S199" s="15">
        <v>0</v>
      </c>
      <c r="T199" s="15">
        <v>0</v>
      </c>
      <c r="U199" s="17">
        <f t="shared" si="18"/>
        <v>8553.6</v>
      </c>
      <c r="V199" s="12" t="s">
        <v>46</v>
      </c>
      <c r="W199" s="12">
        <v>122</v>
      </c>
    </row>
    <row r="200" spans="1:24" s="12" customFormat="1" ht="30.75" customHeight="1" thickTop="1" thickBot="1" x14ac:dyDescent="0.35">
      <c r="A200" s="33"/>
      <c r="D200" s="10"/>
      <c r="G200" s="13">
        <f t="shared" si="19"/>
        <v>199</v>
      </c>
      <c r="H200" s="18">
        <v>45712</v>
      </c>
      <c r="I200" s="34" t="s">
        <v>17</v>
      </c>
      <c r="J200" s="34">
        <v>199584</v>
      </c>
      <c r="K200" s="34">
        <v>700</v>
      </c>
      <c r="L200" s="34">
        <v>137712.95999999999</v>
      </c>
      <c r="M200" s="16">
        <f t="shared" si="15"/>
        <v>196.7328</v>
      </c>
      <c r="N200" s="15">
        <v>0</v>
      </c>
      <c r="O200" s="16">
        <f t="shared" si="16"/>
        <v>199584</v>
      </c>
      <c r="P200" s="15" t="s">
        <v>18</v>
      </c>
      <c r="Q200" s="15">
        <v>0.06</v>
      </c>
      <c r="R200" s="16">
        <f t="shared" si="17"/>
        <v>11975.039999999999</v>
      </c>
      <c r="S200" s="15">
        <v>0</v>
      </c>
      <c r="T200" s="15">
        <v>0</v>
      </c>
      <c r="U200" s="17">
        <f t="shared" si="18"/>
        <v>11975.039999999999</v>
      </c>
      <c r="V200" s="12" t="s">
        <v>46</v>
      </c>
      <c r="W200" s="12">
        <v>122</v>
      </c>
    </row>
    <row r="201" spans="1:24" s="12" customFormat="1" ht="30.75" customHeight="1" thickTop="1" thickBot="1" x14ac:dyDescent="0.35">
      <c r="D201" s="10"/>
      <c r="G201" s="13">
        <f t="shared" si="19"/>
        <v>200</v>
      </c>
      <c r="H201" s="18">
        <v>45712</v>
      </c>
      <c r="I201" s="34" t="s">
        <v>20</v>
      </c>
      <c r="J201" s="34">
        <v>4320</v>
      </c>
      <c r="K201" s="34">
        <v>15</v>
      </c>
      <c r="L201" s="34">
        <v>4060.8</v>
      </c>
      <c r="M201" s="16">
        <f t="shared" si="15"/>
        <v>270.72000000000003</v>
      </c>
      <c r="N201" s="15">
        <v>0</v>
      </c>
      <c r="O201" s="16">
        <f t="shared" si="16"/>
        <v>4320</v>
      </c>
      <c r="P201" s="15" t="s">
        <v>18</v>
      </c>
      <c r="Q201" s="15">
        <v>0.06</v>
      </c>
      <c r="R201" s="16">
        <f t="shared" si="17"/>
        <v>259.2</v>
      </c>
      <c r="S201" s="15">
        <v>0</v>
      </c>
      <c r="T201" s="15">
        <v>0</v>
      </c>
      <c r="U201" s="17">
        <f t="shared" si="18"/>
        <v>259.2</v>
      </c>
      <c r="V201" s="12" t="s">
        <v>46</v>
      </c>
      <c r="W201" s="12">
        <v>122</v>
      </c>
    </row>
    <row r="202" spans="1:24" s="12" customFormat="1" ht="30.75" customHeight="1" thickTop="1" thickBot="1" x14ac:dyDescent="0.35">
      <c r="D202" s="10"/>
      <c r="G202" s="13">
        <f t="shared" si="19"/>
        <v>201</v>
      </c>
      <c r="H202" s="18">
        <v>45712</v>
      </c>
      <c r="I202" s="34" t="s">
        <v>23</v>
      </c>
      <c r="J202" s="34">
        <v>90000</v>
      </c>
      <c r="K202" s="34">
        <v>500</v>
      </c>
      <c r="L202" s="34">
        <v>84600</v>
      </c>
      <c r="M202" s="16">
        <f t="shared" si="15"/>
        <v>169.2</v>
      </c>
      <c r="N202" s="15">
        <v>0</v>
      </c>
      <c r="O202" s="16">
        <f t="shared" si="16"/>
        <v>90000</v>
      </c>
      <c r="P202" s="15" t="s">
        <v>18</v>
      </c>
      <c r="Q202" s="15">
        <v>0.06</v>
      </c>
      <c r="R202" s="16">
        <f t="shared" si="17"/>
        <v>5400</v>
      </c>
      <c r="S202" s="15">
        <v>0</v>
      </c>
      <c r="T202" s="15">
        <v>0</v>
      </c>
      <c r="U202" s="17">
        <f t="shared" si="18"/>
        <v>5400</v>
      </c>
      <c r="V202" s="12" t="s">
        <v>46</v>
      </c>
      <c r="W202" s="12">
        <v>122</v>
      </c>
    </row>
    <row r="203" spans="1:24" s="12" customFormat="1" ht="30.75" customHeight="1" thickTop="1" thickBot="1" x14ac:dyDescent="0.35">
      <c r="D203" s="10"/>
      <c r="G203" s="13">
        <f t="shared" si="19"/>
        <v>202</v>
      </c>
      <c r="H203" s="18">
        <v>45712</v>
      </c>
      <c r="I203" s="34" t="s">
        <v>24</v>
      </c>
      <c r="J203" s="34">
        <v>18302.400000000001</v>
      </c>
      <c r="K203" s="34">
        <v>60</v>
      </c>
      <c r="L203" s="34">
        <v>84600</v>
      </c>
      <c r="M203" s="16">
        <f t="shared" si="15"/>
        <v>1410</v>
      </c>
      <c r="N203" s="15">
        <v>0</v>
      </c>
      <c r="O203" s="16">
        <f t="shared" si="16"/>
        <v>18302.400000000001</v>
      </c>
      <c r="P203" s="15" t="s">
        <v>18</v>
      </c>
      <c r="Q203" s="15">
        <v>0.06</v>
      </c>
      <c r="R203" s="16">
        <f t="shared" si="17"/>
        <v>1098.144</v>
      </c>
      <c r="S203" s="15">
        <v>0</v>
      </c>
      <c r="T203" s="15">
        <v>0</v>
      </c>
      <c r="U203" s="17">
        <f t="shared" si="18"/>
        <v>1098.144</v>
      </c>
      <c r="V203" s="12" t="s">
        <v>46</v>
      </c>
      <c r="W203" s="12">
        <v>122</v>
      </c>
    </row>
    <row r="204" spans="1:24" s="12" customFormat="1" ht="30.75" customHeight="1" thickTop="1" thickBot="1" x14ac:dyDescent="0.35">
      <c r="D204" s="10"/>
      <c r="G204" s="13">
        <f t="shared" si="19"/>
        <v>203</v>
      </c>
      <c r="H204" s="18">
        <v>45712</v>
      </c>
      <c r="I204" s="34" t="s">
        <v>31</v>
      </c>
      <c r="J204" s="34">
        <v>18000</v>
      </c>
      <c r="K204" s="34">
        <v>100</v>
      </c>
      <c r="L204" s="34">
        <v>16920</v>
      </c>
      <c r="M204" s="16">
        <f t="shared" si="15"/>
        <v>169.2</v>
      </c>
      <c r="N204" s="15">
        <v>0</v>
      </c>
      <c r="O204" s="16">
        <f t="shared" si="16"/>
        <v>18000</v>
      </c>
      <c r="P204" s="15" t="s">
        <v>18</v>
      </c>
      <c r="Q204" s="15">
        <v>0.06</v>
      </c>
      <c r="R204" s="16">
        <f t="shared" si="17"/>
        <v>1080</v>
      </c>
      <c r="S204" s="15">
        <v>0</v>
      </c>
      <c r="T204" s="15">
        <v>0</v>
      </c>
      <c r="U204" s="17">
        <f t="shared" si="18"/>
        <v>1080</v>
      </c>
      <c r="V204" s="12" t="s">
        <v>46</v>
      </c>
      <c r="W204" s="12">
        <v>122</v>
      </c>
    </row>
    <row r="205" spans="1:24" s="12" customFormat="1" ht="30.75" customHeight="1" thickTop="1" thickBot="1" x14ac:dyDescent="0.35">
      <c r="D205" s="10"/>
      <c r="G205" s="13">
        <f t="shared" si="19"/>
        <v>204</v>
      </c>
      <c r="H205" s="18">
        <v>45712</v>
      </c>
      <c r="I205" s="34" t="s">
        <v>36</v>
      </c>
      <c r="J205" s="34">
        <v>3050.4</v>
      </c>
      <c r="K205" s="34">
        <v>10</v>
      </c>
      <c r="L205" s="34">
        <v>2867.38</v>
      </c>
      <c r="M205" s="16">
        <f t="shared" si="15"/>
        <v>286.738</v>
      </c>
      <c r="N205" s="15">
        <v>0</v>
      </c>
      <c r="O205" s="16">
        <f t="shared" si="16"/>
        <v>3050.4</v>
      </c>
      <c r="P205" s="15" t="s">
        <v>18</v>
      </c>
      <c r="Q205" s="15">
        <v>0.06</v>
      </c>
      <c r="R205" s="16">
        <f t="shared" si="17"/>
        <v>183.024</v>
      </c>
      <c r="S205" s="15">
        <v>0</v>
      </c>
      <c r="T205" s="15">
        <v>0</v>
      </c>
      <c r="U205" s="17">
        <f t="shared" si="18"/>
        <v>183.024</v>
      </c>
      <c r="V205" s="12" t="s">
        <v>46</v>
      </c>
      <c r="W205" s="12">
        <v>122</v>
      </c>
    </row>
    <row r="206" spans="1:24" s="12" customFormat="1" ht="30.75" customHeight="1" thickTop="1" thickBot="1" x14ac:dyDescent="0.35">
      <c r="D206" s="10"/>
      <c r="G206" s="13">
        <f t="shared" si="19"/>
        <v>205</v>
      </c>
      <c r="H206" s="18">
        <v>45715</v>
      </c>
      <c r="I206" s="15" t="s">
        <v>17</v>
      </c>
      <c r="J206" s="34">
        <v>177629.76</v>
      </c>
      <c r="K206" s="34">
        <v>623</v>
      </c>
      <c r="L206" s="34">
        <v>122564.53</v>
      </c>
      <c r="M206" s="16">
        <f t="shared" si="15"/>
        <v>196.73279293739967</v>
      </c>
      <c r="N206" s="15">
        <v>0</v>
      </c>
      <c r="O206" s="16">
        <f t="shared" si="16"/>
        <v>177629.76</v>
      </c>
      <c r="P206" s="15" t="s">
        <v>18</v>
      </c>
      <c r="Q206" s="15">
        <v>0.06</v>
      </c>
      <c r="R206" s="16">
        <f t="shared" si="17"/>
        <v>10657.785600000001</v>
      </c>
      <c r="S206" s="15">
        <v>0</v>
      </c>
      <c r="T206" s="15">
        <v>0</v>
      </c>
      <c r="U206" s="17">
        <f t="shared" si="18"/>
        <v>10657.785600000001</v>
      </c>
      <c r="V206" s="12" t="s">
        <v>46</v>
      </c>
      <c r="W206" s="12">
        <v>23</v>
      </c>
    </row>
    <row r="207" spans="1:24" s="12" customFormat="1" ht="30.75" customHeight="1" thickTop="1" thickBot="1" x14ac:dyDescent="0.35">
      <c r="D207" s="10"/>
      <c r="G207" s="13">
        <f t="shared" si="19"/>
        <v>206</v>
      </c>
      <c r="H207" s="18">
        <v>45714</v>
      </c>
      <c r="I207" s="35" t="s">
        <v>30</v>
      </c>
      <c r="J207" s="35">
        <v>171072</v>
      </c>
      <c r="K207" s="35">
        <v>600</v>
      </c>
      <c r="L207" s="35">
        <v>118039.67999999999</v>
      </c>
      <c r="M207" s="16">
        <f t="shared" si="15"/>
        <v>196.7328</v>
      </c>
      <c r="N207" s="15">
        <v>0</v>
      </c>
      <c r="O207" s="16">
        <f t="shared" si="16"/>
        <v>171072</v>
      </c>
      <c r="P207" s="15" t="s">
        <v>18</v>
      </c>
      <c r="Q207" s="15">
        <v>0.06</v>
      </c>
      <c r="R207" s="16">
        <f t="shared" si="17"/>
        <v>10264.32</v>
      </c>
      <c r="S207" s="15">
        <v>0</v>
      </c>
      <c r="T207" s="15">
        <v>0</v>
      </c>
      <c r="U207" s="17">
        <f t="shared" si="18"/>
        <v>10264.32</v>
      </c>
      <c r="V207" s="12" t="s">
        <v>46</v>
      </c>
      <c r="W207" s="12">
        <v>23</v>
      </c>
    </row>
    <row r="208" spans="1:24" s="12" customFormat="1" ht="30.75" customHeight="1" thickTop="1" thickBot="1" x14ac:dyDescent="0.35">
      <c r="D208" s="10"/>
      <c r="G208" s="13">
        <f t="shared" si="19"/>
        <v>207</v>
      </c>
      <c r="H208" s="18">
        <v>45714</v>
      </c>
      <c r="I208" s="35" t="s">
        <v>17</v>
      </c>
      <c r="J208" s="35">
        <v>256608</v>
      </c>
      <c r="K208" s="35">
        <v>900</v>
      </c>
      <c r="L208" s="35">
        <v>177059.52</v>
      </c>
      <c r="M208" s="16">
        <f t="shared" si="15"/>
        <v>196.7328</v>
      </c>
      <c r="N208" s="15">
        <v>0</v>
      </c>
      <c r="O208" s="16">
        <f t="shared" si="16"/>
        <v>256608</v>
      </c>
      <c r="P208" s="15" t="s">
        <v>18</v>
      </c>
      <c r="Q208" s="15">
        <v>0.06</v>
      </c>
      <c r="R208" s="16">
        <f t="shared" si="17"/>
        <v>15396.48</v>
      </c>
      <c r="S208" s="15">
        <v>0</v>
      </c>
      <c r="T208" s="15">
        <v>0</v>
      </c>
      <c r="U208" s="17">
        <f t="shared" si="18"/>
        <v>15396.48</v>
      </c>
      <c r="V208" s="12" t="s">
        <v>46</v>
      </c>
      <c r="W208" s="12">
        <v>23</v>
      </c>
    </row>
    <row r="209" spans="4:23" s="12" customFormat="1" ht="30.75" customHeight="1" thickTop="1" thickBot="1" x14ac:dyDescent="0.35">
      <c r="D209" s="10"/>
      <c r="G209" s="13">
        <f t="shared" si="19"/>
        <v>208</v>
      </c>
      <c r="H209" s="18">
        <v>45714</v>
      </c>
      <c r="I209" s="35" t="s">
        <v>20</v>
      </c>
      <c r="J209" s="35">
        <v>7200</v>
      </c>
      <c r="K209" s="35">
        <v>25</v>
      </c>
      <c r="L209" s="35">
        <v>6768</v>
      </c>
      <c r="M209" s="16">
        <f t="shared" si="15"/>
        <v>270.72000000000003</v>
      </c>
      <c r="N209" s="15">
        <v>0</v>
      </c>
      <c r="O209" s="16">
        <f t="shared" si="16"/>
        <v>7200</v>
      </c>
      <c r="P209" s="15" t="s">
        <v>18</v>
      </c>
      <c r="Q209" s="15">
        <v>0.06</v>
      </c>
      <c r="R209" s="16">
        <f t="shared" si="17"/>
        <v>432</v>
      </c>
      <c r="S209" s="15">
        <v>0</v>
      </c>
      <c r="T209" s="15">
        <v>0</v>
      </c>
      <c r="U209" s="17">
        <f t="shared" si="18"/>
        <v>432</v>
      </c>
      <c r="V209" s="12" t="s">
        <v>46</v>
      </c>
      <c r="W209" s="12">
        <v>23</v>
      </c>
    </row>
    <row r="210" spans="4:23" s="12" customFormat="1" ht="30.75" customHeight="1" thickTop="1" thickBot="1" x14ac:dyDescent="0.35">
      <c r="D210" s="10"/>
      <c r="G210" s="13">
        <f t="shared" si="19"/>
        <v>209</v>
      </c>
      <c r="H210" s="18">
        <v>45714</v>
      </c>
      <c r="I210" s="35" t="s">
        <v>21</v>
      </c>
      <c r="J210" s="35">
        <v>8928</v>
      </c>
      <c r="K210" s="35">
        <v>40</v>
      </c>
      <c r="L210" s="35">
        <v>8392.32</v>
      </c>
      <c r="M210" s="16">
        <f t="shared" si="15"/>
        <v>209.80799999999999</v>
      </c>
      <c r="N210" s="15">
        <v>0</v>
      </c>
      <c r="O210" s="16">
        <f t="shared" si="16"/>
        <v>8928</v>
      </c>
      <c r="P210" s="15" t="s">
        <v>18</v>
      </c>
      <c r="Q210" s="15">
        <v>0.06</v>
      </c>
      <c r="R210" s="16">
        <f t="shared" si="17"/>
        <v>535.67999999999995</v>
      </c>
      <c r="S210" s="15">
        <v>0</v>
      </c>
      <c r="T210" s="15">
        <v>0</v>
      </c>
      <c r="U210" s="17">
        <f t="shared" si="18"/>
        <v>535.67999999999995</v>
      </c>
      <c r="V210" s="12" t="s">
        <v>46</v>
      </c>
      <c r="W210" s="12">
        <v>23</v>
      </c>
    </row>
    <row r="211" spans="4:23" s="12" customFormat="1" ht="30.75" customHeight="1" thickTop="1" thickBot="1" x14ac:dyDescent="0.35">
      <c r="D211" s="10"/>
      <c r="G211" s="13">
        <f t="shared" si="19"/>
        <v>210</v>
      </c>
      <c r="H211" s="18">
        <v>45714</v>
      </c>
      <c r="I211" s="35" t="s">
        <v>23</v>
      </c>
      <c r="J211" s="35">
        <v>90000</v>
      </c>
      <c r="K211" s="35">
        <v>500</v>
      </c>
      <c r="L211" s="35">
        <v>84600</v>
      </c>
      <c r="M211" s="16">
        <f t="shared" si="15"/>
        <v>169.2</v>
      </c>
      <c r="N211" s="15">
        <v>0</v>
      </c>
      <c r="O211" s="16">
        <f t="shared" si="16"/>
        <v>90000</v>
      </c>
      <c r="P211" s="15" t="s">
        <v>18</v>
      </c>
      <c r="Q211" s="15">
        <v>0.06</v>
      </c>
      <c r="R211" s="16">
        <f t="shared" si="17"/>
        <v>5400</v>
      </c>
      <c r="S211" s="15">
        <v>0</v>
      </c>
      <c r="T211" s="15">
        <v>0</v>
      </c>
      <c r="U211" s="17">
        <f t="shared" si="18"/>
        <v>5400</v>
      </c>
      <c r="V211" s="12" t="s">
        <v>46</v>
      </c>
      <c r="W211" s="12">
        <v>23</v>
      </c>
    </row>
    <row r="212" spans="4:23" s="12" customFormat="1" ht="30.75" customHeight="1" thickTop="1" thickBot="1" x14ac:dyDescent="0.35">
      <c r="D212" s="10"/>
      <c r="G212" s="13">
        <f t="shared" si="19"/>
        <v>211</v>
      </c>
      <c r="H212" s="18">
        <v>45714</v>
      </c>
      <c r="I212" s="35" t="s">
        <v>24</v>
      </c>
      <c r="J212" s="35">
        <v>18302.400000000001</v>
      </c>
      <c r="K212" s="35">
        <v>60</v>
      </c>
      <c r="L212" s="35">
        <v>84600</v>
      </c>
      <c r="M212" s="16">
        <f t="shared" si="15"/>
        <v>1410</v>
      </c>
      <c r="N212" s="15">
        <v>0</v>
      </c>
      <c r="O212" s="16">
        <f t="shared" si="16"/>
        <v>18302.400000000001</v>
      </c>
      <c r="P212" s="15" t="s">
        <v>18</v>
      </c>
      <c r="Q212" s="15">
        <v>0.06</v>
      </c>
      <c r="R212" s="16">
        <f t="shared" si="17"/>
        <v>1098.144</v>
      </c>
      <c r="S212" s="15">
        <v>0</v>
      </c>
      <c r="T212" s="15">
        <v>0</v>
      </c>
      <c r="U212" s="17">
        <f t="shared" si="18"/>
        <v>1098.144</v>
      </c>
      <c r="V212" s="12" t="s">
        <v>46</v>
      </c>
      <c r="W212" s="12">
        <v>23</v>
      </c>
    </row>
    <row r="213" spans="4:23" s="12" customFormat="1" ht="30.75" customHeight="1" thickTop="1" thickBot="1" x14ac:dyDescent="0.35">
      <c r="D213" s="10"/>
      <c r="G213" s="13">
        <f t="shared" si="19"/>
        <v>212</v>
      </c>
      <c r="H213" s="18">
        <v>45714</v>
      </c>
      <c r="I213" s="35" t="s">
        <v>31</v>
      </c>
      <c r="J213" s="35">
        <v>18000</v>
      </c>
      <c r="K213" s="35">
        <v>100</v>
      </c>
      <c r="L213" s="35">
        <v>16920</v>
      </c>
      <c r="M213" s="16">
        <f t="shared" si="15"/>
        <v>169.2</v>
      </c>
      <c r="N213" s="15">
        <v>0</v>
      </c>
      <c r="O213" s="16">
        <f t="shared" si="16"/>
        <v>18000</v>
      </c>
      <c r="P213" s="15" t="s">
        <v>18</v>
      </c>
      <c r="Q213" s="15">
        <v>0.06</v>
      </c>
      <c r="R213" s="16">
        <f t="shared" si="17"/>
        <v>1080</v>
      </c>
      <c r="S213" s="15">
        <v>0</v>
      </c>
      <c r="T213" s="15">
        <v>0</v>
      </c>
      <c r="U213" s="17">
        <f t="shared" si="18"/>
        <v>1080</v>
      </c>
      <c r="V213" s="12" t="s">
        <v>46</v>
      </c>
      <c r="W213" s="12">
        <v>23</v>
      </c>
    </row>
    <row r="214" spans="4:23" s="12" customFormat="1" ht="30.75" customHeight="1" thickTop="1" thickBot="1" x14ac:dyDescent="0.35">
      <c r="D214" s="10"/>
      <c r="G214" s="13">
        <f t="shared" si="19"/>
        <v>213</v>
      </c>
      <c r="H214" s="18">
        <v>45714</v>
      </c>
      <c r="I214" s="35" t="s">
        <v>36</v>
      </c>
      <c r="J214" s="35">
        <v>6100.8</v>
      </c>
      <c r="K214" s="35">
        <v>20</v>
      </c>
      <c r="L214" s="35">
        <v>5734.75</v>
      </c>
      <c r="M214" s="16">
        <f t="shared" si="15"/>
        <v>286.73750000000001</v>
      </c>
      <c r="N214" s="15">
        <v>0</v>
      </c>
      <c r="O214" s="16">
        <f t="shared" si="16"/>
        <v>6100.8</v>
      </c>
      <c r="P214" s="15" t="s">
        <v>18</v>
      </c>
      <c r="Q214" s="15">
        <v>0.06</v>
      </c>
      <c r="R214" s="16">
        <f t="shared" si="17"/>
        <v>366.048</v>
      </c>
      <c r="S214" s="15">
        <v>0</v>
      </c>
      <c r="T214" s="15">
        <v>0</v>
      </c>
      <c r="U214" s="17">
        <f t="shared" si="18"/>
        <v>366.048</v>
      </c>
      <c r="V214" s="12" t="s">
        <v>46</v>
      </c>
      <c r="W214" s="12">
        <v>23</v>
      </c>
    </row>
    <row r="215" spans="4:23" s="12" customFormat="1" ht="30.75" customHeight="1" thickTop="1" thickBot="1" x14ac:dyDescent="0.35">
      <c r="D215" s="10"/>
      <c r="G215" s="13">
        <f t="shared" si="19"/>
        <v>214</v>
      </c>
      <c r="H215" s="18">
        <v>45719</v>
      </c>
      <c r="I215" s="15" t="s">
        <v>30</v>
      </c>
      <c r="J215" s="15">
        <v>71280</v>
      </c>
      <c r="K215" s="15">
        <v>250</v>
      </c>
      <c r="L215" s="15">
        <v>49183.199999999997</v>
      </c>
      <c r="M215" s="16">
        <f t="shared" si="15"/>
        <v>196.7328</v>
      </c>
      <c r="N215" s="15">
        <v>0</v>
      </c>
      <c r="O215" s="16">
        <f t="shared" si="16"/>
        <v>71280</v>
      </c>
      <c r="P215" s="15" t="s">
        <v>18</v>
      </c>
      <c r="Q215" s="15">
        <v>0.06</v>
      </c>
      <c r="R215" s="16">
        <f t="shared" si="17"/>
        <v>4276.8</v>
      </c>
      <c r="S215" s="15">
        <v>0</v>
      </c>
      <c r="T215" s="15">
        <v>0</v>
      </c>
      <c r="U215" s="17">
        <f t="shared" si="18"/>
        <v>4276.8</v>
      </c>
      <c r="V215" s="12" t="s">
        <v>46</v>
      </c>
      <c r="W215" s="12">
        <v>24</v>
      </c>
    </row>
    <row r="216" spans="4:23" s="12" customFormat="1" ht="30.75" customHeight="1" thickTop="1" thickBot="1" x14ac:dyDescent="0.35">
      <c r="D216" s="10"/>
      <c r="G216" s="13">
        <f t="shared" si="19"/>
        <v>215</v>
      </c>
      <c r="H216" s="18">
        <v>45719</v>
      </c>
      <c r="I216" s="15" t="s">
        <v>17</v>
      </c>
      <c r="J216" s="15">
        <v>114048</v>
      </c>
      <c r="K216" s="15">
        <v>400</v>
      </c>
      <c r="L216" s="15">
        <v>78693.119999999995</v>
      </c>
      <c r="M216" s="16">
        <f t="shared" si="15"/>
        <v>196.7328</v>
      </c>
      <c r="N216" s="15">
        <v>0</v>
      </c>
      <c r="O216" s="16">
        <f t="shared" si="16"/>
        <v>114048</v>
      </c>
      <c r="P216" s="15" t="s">
        <v>18</v>
      </c>
      <c r="Q216" s="15">
        <v>0.06</v>
      </c>
      <c r="R216" s="16">
        <f t="shared" si="17"/>
        <v>6842.88</v>
      </c>
      <c r="S216" s="15">
        <v>0</v>
      </c>
      <c r="T216" s="15">
        <v>0</v>
      </c>
      <c r="U216" s="17">
        <f t="shared" si="18"/>
        <v>6842.88</v>
      </c>
      <c r="V216" s="12" t="s">
        <v>46</v>
      </c>
      <c r="W216" s="12">
        <v>24</v>
      </c>
    </row>
    <row r="217" spans="4:23" s="12" customFormat="1" ht="30.75" customHeight="1" thickTop="1" thickBot="1" x14ac:dyDescent="0.35">
      <c r="D217" s="10"/>
      <c r="G217" s="13">
        <f t="shared" si="19"/>
        <v>216</v>
      </c>
      <c r="H217" s="18">
        <v>45719</v>
      </c>
      <c r="I217" s="15" t="s">
        <v>20</v>
      </c>
      <c r="J217" s="15">
        <v>7200</v>
      </c>
      <c r="K217" s="15">
        <v>25</v>
      </c>
      <c r="L217" s="15">
        <v>6768</v>
      </c>
      <c r="M217" s="16">
        <f t="shared" si="15"/>
        <v>270.72000000000003</v>
      </c>
      <c r="N217" s="15">
        <v>0</v>
      </c>
      <c r="O217" s="16">
        <f t="shared" si="16"/>
        <v>7200</v>
      </c>
      <c r="P217" s="15" t="s">
        <v>18</v>
      </c>
      <c r="Q217" s="15">
        <v>0.06</v>
      </c>
      <c r="R217" s="16">
        <f t="shared" si="17"/>
        <v>432</v>
      </c>
      <c r="S217" s="15">
        <v>0</v>
      </c>
      <c r="T217" s="15">
        <v>0</v>
      </c>
      <c r="U217" s="17">
        <f t="shared" si="18"/>
        <v>432</v>
      </c>
      <c r="V217" s="12" t="s">
        <v>46</v>
      </c>
      <c r="W217" s="12">
        <v>24</v>
      </c>
    </row>
    <row r="218" spans="4:23" s="12" customFormat="1" ht="30.75" customHeight="1" thickTop="1" thickBot="1" x14ac:dyDescent="0.35">
      <c r="D218" s="10"/>
      <c r="G218" s="13">
        <f t="shared" si="19"/>
        <v>217</v>
      </c>
      <c r="H218" s="18">
        <v>45719</v>
      </c>
      <c r="I218" s="15" t="s">
        <v>21</v>
      </c>
      <c r="J218" s="15">
        <v>8928</v>
      </c>
      <c r="K218" s="15">
        <v>40</v>
      </c>
      <c r="L218" s="15">
        <v>8392.32</v>
      </c>
      <c r="M218" s="16">
        <f t="shared" si="15"/>
        <v>209.80799999999999</v>
      </c>
      <c r="N218" s="15">
        <v>0</v>
      </c>
      <c r="O218" s="16">
        <f t="shared" si="16"/>
        <v>8928</v>
      </c>
      <c r="P218" s="15" t="s">
        <v>18</v>
      </c>
      <c r="Q218" s="15">
        <v>0.06</v>
      </c>
      <c r="R218" s="16">
        <f t="shared" si="17"/>
        <v>535.67999999999995</v>
      </c>
      <c r="S218" s="15">
        <v>0</v>
      </c>
      <c r="T218" s="15">
        <v>0</v>
      </c>
      <c r="U218" s="17">
        <f t="shared" si="18"/>
        <v>535.67999999999995</v>
      </c>
      <c r="V218" s="12" t="s">
        <v>46</v>
      </c>
      <c r="W218" s="12">
        <v>24</v>
      </c>
    </row>
    <row r="219" spans="4:23" s="12" customFormat="1" ht="30.75" customHeight="1" thickTop="1" thickBot="1" x14ac:dyDescent="0.35">
      <c r="D219" s="10"/>
      <c r="G219" s="13">
        <f t="shared" si="19"/>
        <v>218</v>
      </c>
      <c r="H219" s="18">
        <v>45719</v>
      </c>
      <c r="I219" s="15" t="s">
        <v>23</v>
      </c>
      <c r="J219" s="15">
        <v>36000</v>
      </c>
      <c r="K219" s="15">
        <v>200</v>
      </c>
      <c r="L219" s="15">
        <v>33840</v>
      </c>
      <c r="M219" s="16">
        <f t="shared" si="15"/>
        <v>169.2</v>
      </c>
      <c r="N219" s="15">
        <v>0</v>
      </c>
      <c r="O219" s="16">
        <f t="shared" si="16"/>
        <v>36000</v>
      </c>
      <c r="P219" s="15" t="s">
        <v>18</v>
      </c>
      <c r="Q219" s="15">
        <v>0.06</v>
      </c>
      <c r="R219" s="16">
        <f t="shared" si="17"/>
        <v>2160</v>
      </c>
      <c r="S219" s="15">
        <v>0</v>
      </c>
      <c r="T219" s="15">
        <v>0</v>
      </c>
      <c r="U219" s="17">
        <f t="shared" si="18"/>
        <v>2160</v>
      </c>
      <c r="V219" s="12" t="s">
        <v>46</v>
      </c>
      <c r="W219" s="12">
        <v>24</v>
      </c>
    </row>
    <row r="220" spans="4:23" s="12" customFormat="1" ht="30.75" customHeight="1" thickTop="1" thickBot="1" x14ac:dyDescent="0.35">
      <c r="D220" s="10"/>
      <c r="G220" s="13">
        <f t="shared" si="19"/>
        <v>219</v>
      </c>
      <c r="H220" s="18">
        <v>45719</v>
      </c>
      <c r="I220" s="15" t="s">
        <v>31</v>
      </c>
      <c r="J220" s="15">
        <v>10800</v>
      </c>
      <c r="K220" s="15">
        <v>60</v>
      </c>
      <c r="L220" s="15">
        <v>10152</v>
      </c>
      <c r="M220" s="16">
        <f t="shared" si="15"/>
        <v>169.2</v>
      </c>
      <c r="N220" s="15">
        <v>0</v>
      </c>
      <c r="O220" s="16">
        <f t="shared" si="16"/>
        <v>10800</v>
      </c>
      <c r="P220" s="15" t="s">
        <v>18</v>
      </c>
      <c r="Q220" s="15">
        <v>0.06</v>
      </c>
      <c r="R220" s="16">
        <f t="shared" si="17"/>
        <v>648</v>
      </c>
      <c r="S220" s="15">
        <v>0</v>
      </c>
      <c r="T220" s="15">
        <v>0</v>
      </c>
      <c r="U220" s="17">
        <f t="shared" si="18"/>
        <v>648</v>
      </c>
      <c r="V220" s="12" t="s">
        <v>46</v>
      </c>
      <c r="W220" s="12">
        <v>24</v>
      </c>
    </row>
    <row r="221" spans="4:23" s="12" customFormat="1" ht="30.75" customHeight="1" thickTop="1" thickBot="1" x14ac:dyDescent="0.35">
      <c r="D221" s="10"/>
      <c r="G221" s="13">
        <f t="shared" si="19"/>
        <v>220</v>
      </c>
      <c r="H221" s="18">
        <v>45719</v>
      </c>
      <c r="I221" s="15" t="s">
        <v>36</v>
      </c>
      <c r="J221" s="15">
        <v>6100.8</v>
      </c>
      <c r="K221" s="15">
        <v>20</v>
      </c>
      <c r="L221" s="15">
        <v>5734.75</v>
      </c>
      <c r="M221" s="16">
        <f t="shared" si="15"/>
        <v>286.73750000000001</v>
      </c>
      <c r="N221" s="15">
        <v>0</v>
      </c>
      <c r="O221" s="16">
        <f t="shared" si="16"/>
        <v>6100.8</v>
      </c>
      <c r="P221" s="15" t="s">
        <v>18</v>
      </c>
      <c r="Q221" s="15">
        <v>0.06</v>
      </c>
      <c r="R221" s="16">
        <f t="shared" si="17"/>
        <v>366.048</v>
      </c>
      <c r="S221" s="15">
        <v>0</v>
      </c>
      <c r="T221" s="15">
        <v>0</v>
      </c>
      <c r="U221" s="17">
        <f t="shared" si="18"/>
        <v>366.048</v>
      </c>
      <c r="V221" s="12" t="s">
        <v>46</v>
      </c>
      <c r="W221" s="12">
        <v>24</v>
      </c>
    </row>
    <row r="222" spans="4:23" s="12" customFormat="1" ht="30.75" customHeight="1" thickTop="1" thickBot="1" x14ac:dyDescent="0.35">
      <c r="D222" s="10"/>
      <c r="G222" s="13">
        <f t="shared" si="19"/>
        <v>221</v>
      </c>
      <c r="H222" s="18">
        <v>45721</v>
      </c>
      <c r="I222" s="15" t="s">
        <v>47</v>
      </c>
      <c r="J222" s="15">
        <v>17052.98</v>
      </c>
      <c r="K222" s="15">
        <v>49</v>
      </c>
      <c r="L222" s="15">
        <v>15467.05</v>
      </c>
      <c r="M222" s="16">
        <f t="shared" si="15"/>
        <v>315.65408163265306</v>
      </c>
      <c r="N222" s="15">
        <v>0</v>
      </c>
      <c r="O222" s="16">
        <f t="shared" si="16"/>
        <v>17052.98</v>
      </c>
      <c r="P222" s="15" t="s">
        <v>26</v>
      </c>
      <c r="Q222" s="15">
        <v>0.02</v>
      </c>
      <c r="R222" s="16">
        <f t="shared" si="17"/>
        <v>341.05959999999999</v>
      </c>
      <c r="S222" s="15">
        <v>0</v>
      </c>
      <c r="T222" s="15">
        <v>0</v>
      </c>
      <c r="U222" s="17">
        <f t="shared" si="18"/>
        <v>341.05959999999999</v>
      </c>
      <c r="V222" s="12" t="s">
        <v>46</v>
      </c>
      <c r="W222" s="12">
        <v>127</v>
      </c>
    </row>
    <row r="223" spans="4:23" s="12" customFormat="1" ht="30.75" customHeight="1" thickTop="1" thickBot="1" x14ac:dyDescent="0.35">
      <c r="D223" s="10"/>
      <c r="G223" s="13">
        <f t="shared" si="19"/>
        <v>222</v>
      </c>
      <c r="H223" s="18">
        <v>45721</v>
      </c>
      <c r="I223" s="15" t="s">
        <v>39</v>
      </c>
      <c r="J223" s="15">
        <v>33612</v>
      </c>
      <c r="K223" s="15">
        <v>100</v>
      </c>
      <c r="L223" s="15">
        <v>30586.92</v>
      </c>
      <c r="M223" s="16">
        <f t="shared" si="15"/>
        <v>305.86919999999998</v>
      </c>
      <c r="N223" s="15">
        <v>0</v>
      </c>
      <c r="O223" s="16">
        <f t="shared" si="16"/>
        <v>33612</v>
      </c>
      <c r="P223" s="15" t="s">
        <v>26</v>
      </c>
      <c r="Q223" s="15">
        <v>0.02</v>
      </c>
      <c r="R223" s="16">
        <f t="shared" si="17"/>
        <v>672.24</v>
      </c>
      <c r="S223" s="15">
        <v>0</v>
      </c>
      <c r="T223" s="15">
        <v>0</v>
      </c>
      <c r="U223" s="17">
        <f t="shared" si="18"/>
        <v>672.24</v>
      </c>
      <c r="V223" s="12" t="s">
        <v>46</v>
      </c>
      <c r="W223" s="12">
        <v>127</v>
      </c>
    </row>
    <row r="224" spans="4:23" s="12" customFormat="1" ht="30.75" customHeight="1" thickTop="1" thickBot="1" x14ac:dyDescent="0.35">
      <c r="D224" s="10"/>
      <c r="G224" s="13">
        <f t="shared" si="19"/>
        <v>223</v>
      </c>
      <c r="H224" s="18">
        <v>45721</v>
      </c>
      <c r="I224" s="15" t="s">
        <v>48</v>
      </c>
      <c r="J224" s="15">
        <v>12013</v>
      </c>
      <c r="K224" s="15">
        <v>41</v>
      </c>
      <c r="L224" s="15">
        <v>11292.22</v>
      </c>
      <c r="M224" s="16">
        <f t="shared" si="15"/>
        <v>275.41999999999996</v>
      </c>
      <c r="N224" s="15">
        <v>0</v>
      </c>
      <c r="O224" s="16">
        <f t="shared" si="16"/>
        <v>12013</v>
      </c>
      <c r="P224" s="15" t="s">
        <v>26</v>
      </c>
      <c r="Q224" s="15">
        <v>0.02</v>
      </c>
      <c r="R224" s="16">
        <f t="shared" si="17"/>
        <v>240.26</v>
      </c>
      <c r="S224" s="15">
        <v>0</v>
      </c>
      <c r="T224" s="15">
        <v>0</v>
      </c>
      <c r="U224" s="17">
        <f t="shared" si="18"/>
        <v>240.26</v>
      </c>
      <c r="V224" s="12" t="s">
        <v>46</v>
      </c>
      <c r="W224" s="12">
        <v>127</v>
      </c>
    </row>
    <row r="225" spans="4:23" s="12" customFormat="1" ht="30.75" customHeight="1" thickTop="1" thickBot="1" x14ac:dyDescent="0.35">
      <c r="D225" s="10"/>
      <c r="G225" s="13">
        <f t="shared" si="19"/>
        <v>224</v>
      </c>
      <c r="H225" s="18">
        <v>45721</v>
      </c>
      <c r="I225" s="15" t="s">
        <v>30</v>
      </c>
      <c r="J225" s="15">
        <v>57024</v>
      </c>
      <c r="K225" s="15">
        <v>200</v>
      </c>
      <c r="L225" s="15">
        <v>39346.559999999998</v>
      </c>
      <c r="M225" s="16">
        <f t="shared" si="15"/>
        <v>196.7328</v>
      </c>
      <c r="N225" s="15">
        <v>0</v>
      </c>
      <c r="O225" s="16">
        <f t="shared" si="16"/>
        <v>57024</v>
      </c>
      <c r="P225" s="15" t="s">
        <v>18</v>
      </c>
      <c r="Q225" s="15">
        <v>0.06</v>
      </c>
      <c r="R225" s="16">
        <f t="shared" si="17"/>
        <v>3421.44</v>
      </c>
      <c r="S225" s="15">
        <v>0</v>
      </c>
      <c r="T225" s="15">
        <v>0</v>
      </c>
      <c r="U225" s="17">
        <f t="shared" si="18"/>
        <v>3421.44</v>
      </c>
      <c r="V225" s="12" t="s">
        <v>46</v>
      </c>
      <c r="W225" s="12">
        <v>25</v>
      </c>
    </row>
    <row r="226" spans="4:23" s="12" customFormat="1" ht="30.75" customHeight="1" thickTop="1" thickBot="1" x14ac:dyDescent="0.35">
      <c r="D226" s="10"/>
      <c r="G226" s="13">
        <f t="shared" si="19"/>
        <v>225</v>
      </c>
      <c r="H226" s="18">
        <v>45721</v>
      </c>
      <c r="I226" s="15" t="s">
        <v>17</v>
      </c>
      <c r="J226" s="15">
        <v>114048</v>
      </c>
      <c r="K226" s="15">
        <v>400</v>
      </c>
      <c r="L226" s="15">
        <v>78693.119999999995</v>
      </c>
      <c r="M226" s="16">
        <f t="shared" si="15"/>
        <v>196.7328</v>
      </c>
      <c r="N226" s="15">
        <v>0</v>
      </c>
      <c r="O226" s="16">
        <f t="shared" si="16"/>
        <v>114048</v>
      </c>
      <c r="P226" s="15" t="s">
        <v>18</v>
      </c>
      <c r="Q226" s="15">
        <v>0.06</v>
      </c>
      <c r="R226" s="16">
        <f t="shared" si="17"/>
        <v>6842.88</v>
      </c>
      <c r="S226" s="15">
        <v>0</v>
      </c>
      <c r="T226" s="15">
        <v>0</v>
      </c>
      <c r="U226" s="17">
        <f t="shared" si="18"/>
        <v>6842.88</v>
      </c>
      <c r="V226" s="12" t="s">
        <v>46</v>
      </c>
      <c r="W226" s="12">
        <v>25</v>
      </c>
    </row>
    <row r="227" spans="4:23" s="12" customFormat="1" ht="30.75" customHeight="1" thickTop="1" thickBot="1" x14ac:dyDescent="0.35">
      <c r="D227" s="10"/>
      <c r="G227" s="13">
        <f t="shared" si="19"/>
        <v>226</v>
      </c>
      <c r="H227" s="18">
        <v>45721</v>
      </c>
      <c r="I227" s="15" t="s">
        <v>20</v>
      </c>
      <c r="J227" s="15">
        <v>5760</v>
      </c>
      <c r="K227" s="15">
        <v>20</v>
      </c>
      <c r="L227" s="15">
        <v>5414.4</v>
      </c>
      <c r="M227" s="16">
        <f t="shared" si="15"/>
        <v>270.71999999999997</v>
      </c>
      <c r="N227" s="15">
        <v>0</v>
      </c>
      <c r="O227" s="16">
        <f t="shared" si="16"/>
        <v>5760</v>
      </c>
      <c r="P227" s="15" t="s">
        <v>18</v>
      </c>
      <c r="Q227" s="15">
        <v>0.06</v>
      </c>
      <c r="R227" s="16">
        <f t="shared" si="17"/>
        <v>345.59999999999997</v>
      </c>
      <c r="S227" s="15">
        <v>0</v>
      </c>
      <c r="T227" s="15">
        <v>0</v>
      </c>
      <c r="U227" s="17">
        <f t="shared" si="18"/>
        <v>345.59999999999997</v>
      </c>
      <c r="V227" s="12" t="s">
        <v>46</v>
      </c>
      <c r="W227" s="12">
        <v>25</v>
      </c>
    </row>
    <row r="228" spans="4:23" s="12" customFormat="1" ht="30.75" customHeight="1" thickTop="1" thickBot="1" x14ac:dyDescent="0.35">
      <c r="D228" s="10"/>
      <c r="G228" s="13">
        <f t="shared" si="19"/>
        <v>227</v>
      </c>
      <c r="H228" s="18">
        <v>45721</v>
      </c>
      <c r="I228" s="15" t="s">
        <v>21</v>
      </c>
      <c r="J228" s="15">
        <v>3571.2</v>
      </c>
      <c r="K228" s="15">
        <v>16</v>
      </c>
      <c r="L228" s="15">
        <v>3356.93</v>
      </c>
      <c r="M228" s="16">
        <f t="shared" si="15"/>
        <v>209.80812499999999</v>
      </c>
      <c r="N228" s="15">
        <v>0</v>
      </c>
      <c r="O228" s="16">
        <f t="shared" si="16"/>
        <v>3571.2</v>
      </c>
      <c r="P228" s="15" t="s">
        <v>18</v>
      </c>
      <c r="Q228" s="15">
        <v>0.06</v>
      </c>
      <c r="R228" s="16">
        <f t="shared" si="17"/>
        <v>214.27199999999999</v>
      </c>
      <c r="S228" s="15">
        <v>0</v>
      </c>
      <c r="T228" s="15">
        <v>0</v>
      </c>
      <c r="U228" s="17">
        <f t="shared" si="18"/>
        <v>214.27199999999999</v>
      </c>
      <c r="V228" s="12" t="s">
        <v>46</v>
      </c>
      <c r="W228" s="12">
        <v>25</v>
      </c>
    </row>
    <row r="229" spans="4:23" s="12" customFormat="1" ht="30.75" customHeight="1" thickTop="1" thickBot="1" x14ac:dyDescent="0.35">
      <c r="D229" s="10"/>
      <c r="G229" s="13">
        <f t="shared" si="19"/>
        <v>228</v>
      </c>
      <c r="H229" s="18">
        <v>45721</v>
      </c>
      <c r="I229" s="15" t="s">
        <v>23</v>
      </c>
      <c r="J229" s="15">
        <v>45000</v>
      </c>
      <c r="K229" s="15">
        <v>250</v>
      </c>
      <c r="L229" s="15">
        <v>42300</v>
      </c>
      <c r="M229" s="16">
        <f t="shared" si="15"/>
        <v>169.2</v>
      </c>
      <c r="N229" s="15">
        <v>0</v>
      </c>
      <c r="O229" s="16">
        <f t="shared" si="16"/>
        <v>45000</v>
      </c>
      <c r="P229" s="15" t="s">
        <v>18</v>
      </c>
      <c r="Q229" s="15">
        <v>0.06</v>
      </c>
      <c r="R229" s="16">
        <f t="shared" si="17"/>
        <v>2700</v>
      </c>
      <c r="S229" s="15">
        <v>0</v>
      </c>
      <c r="T229" s="15">
        <v>0</v>
      </c>
      <c r="U229" s="17">
        <f t="shared" si="18"/>
        <v>2700</v>
      </c>
      <c r="V229" s="12" t="s">
        <v>46</v>
      </c>
      <c r="W229" s="12">
        <v>25</v>
      </c>
    </row>
    <row r="230" spans="4:23" s="12" customFormat="1" ht="30.75" customHeight="1" thickTop="1" thickBot="1" x14ac:dyDescent="0.35">
      <c r="D230" s="10"/>
      <c r="G230" s="13">
        <f t="shared" si="19"/>
        <v>229</v>
      </c>
      <c r="H230" s="18">
        <v>45721</v>
      </c>
      <c r="I230" s="15" t="s">
        <v>24</v>
      </c>
      <c r="J230" s="15">
        <v>18302.400000000001</v>
      </c>
      <c r="K230" s="15">
        <v>60</v>
      </c>
      <c r="L230" s="15">
        <v>84600</v>
      </c>
      <c r="M230" s="16">
        <f t="shared" si="15"/>
        <v>1410</v>
      </c>
      <c r="N230" s="15">
        <v>0</v>
      </c>
      <c r="O230" s="16">
        <f t="shared" si="16"/>
        <v>18302.400000000001</v>
      </c>
      <c r="P230" s="15" t="s">
        <v>18</v>
      </c>
      <c r="Q230" s="15">
        <v>0.06</v>
      </c>
      <c r="R230" s="16">
        <f t="shared" si="17"/>
        <v>1098.144</v>
      </c>
      <c r="S230" s="15">
        <v>0</v>
      </c>
      <c r="T230" s="15">
        <v>0</v>
      </c>
      <c r="U230" s="17">
        <f t="shared" si="18"/>
        <v>1098.144</v>
      </c>
      <c r="V230" s="12" t="s">
        <v>46</v>
      </c>
      <c r="W230" s="12">
        <v>25</v>
      </c>
    </row>
    <row r="231" spans="4:23" s="12" customFormat="1" ht="30.75" customHeight="1" thickTop="1" thickBot="1" x14ac:dyDescent="0.35">
      <c r="D231" s="10"/>
      <c r="G231" s="13">
        <f t="shared" si="19"/>
        <v>230</v>
      </c>
      <c r="H231" s="18">
        <v>45721</v>
      </c>
      <c r="I231" s="15" t="s">
        <v>31</v>
      </c>
      <c r="J231" s="15">
        <v>5400</v>
      </c>
      <c r="K231" s="15">
        <v>30</v>
      </c>
      <c r="L231" s="15">
        <v>5076</v>
      </c>
      <c r="M231" s="16">
        <f t="shared" si="15"/>
        <v>169.2</v>
      </c>
      <c r="N231" s="15">
        <v>0</v>
      </c>
      <c r="O231" s="16">
        <f t="shared" si="16"/>
        <v>5400</v>
      </c>
      <c r="P231" s="15" t="s">
        <v>18</v>
      </c>
      <c r="Q231" s="15">
        <v>0.06</v>
      </c>
      <c r="R231" s="16">
        <f t="shared" si="17"/>
        <v>324</v>
      </c>
      <c r="S231" s="15">
        <v>0</v>
      </c>
      <c r="T231" s="15">
        <v>0</v>
      </c>
      <c r="U231" s="17">
        <f t="shared" si="18"/>
        <v>324</v>
      </c>
      <c r="V231" s="12" t="s">
        <v>46</v>
      </c>
      <c r="W231" s="12">
        <v>25</v>
      </c>
    </row>
    <row r="232" spans="4:23" s="12" customFormat="1" ht="30.75" customHeight="1" thickTop="1" thickBot="1" x14ac:dyDescent="0.35">
      <c r="D232" s="10"/>
      <c r="G232" s="13">
        <f t="shared" si="19"/>
        <v>231</v>
      </c>
      <c r="H232" s="18">
        <v>45724</v>
      </c>
      <c r="I232" s="15" t="s">
        <v>25</v>
      </c>
      <c r="J232" s="15">
        <v>48016</v>
      </c>
      <c r="K232" s="15">
        <v>200</v>
      </c>
      <c r="L232" s="15">
        <v>38043.08</v>
      </c>
      <c r="M232" s="16">
        <f t="shared" si="15"/>
        <v>190.21540000000002</v>
      </c>
      <c r="N232" s="15">
        <v>0</v>
      </c>
      <c r="O232" s="16">
        <f t="shared" si="16"/>
        <v>48016</v>
      </c>
      <c r="P232" s="15" t="s">
        <v>26</v>
      </c>
      <c r="Q232" s="15">
        <v>0.02</v>
      </c>
      <c r="R232" s="16">
        <f t="shared" si="17"/>
        <v>960.32</v>
      </c>
      <c r="S232" s="15">
        <v>0</v>
      </c>
      <c r="T232" s="15">
        <v>0</v>
      </c>
      <c r="U232" s="17">
        <f t="shared" si="18"/>
        <v>960.32</v>
      </c>
      <c r="V232" s="12" t="s">
        <v>46</v>
      </c>
      <c r="W232" s="12">
        <v>26</v>
      </c>
    </row>
    <row r="233" spans="4:23" s="12" customFormat="1" ht="30.75" customHeight="1" thickTop="1" thickBot="1" x14ac:dyDescent="0.35">
      <c r="D233" s="10"/>
      <c r="G233" s="13">
        <f t="shared" si="19"/>
        <v>232</v>
      </c>
      <c r="H233" s="18">
        <v>45724</v>
      </c>
      <c r="I233" s="15" t="s">
        <v>37</v>
      </c>
      <c r="J233" s="15">
        <v>77719.5</v>
      </c>
      <c r="K233" s="15">
        <v>150</v>
      </c>
      <c r="L233" s="15">
        <v>74610.720000000001</v>
      </c>
      <c r="M233" s="16">
        <f t="shared" si="15"/>
        <v>497.40480000000002</v>
      </c>
      <c r="N233" s="15">
        <v>0</v>
      </c>
      <c r="O233" s="16">
        <f t="shared" si="16"/>
        <v>77719.5</v>
      </c>
      <c r="P233" s="15" t="s">
        <v>29</v>
      </c>
      <c r="Q233" s="15">
        <v>0.02</v>
      </c>
      <c r="R233" s="16">
        <f t="shared" si="17"/>
        <v>1554.39</v>
      </c>
      <c r="S233" s="15">
        <v>0</v>
      </c>
      <c r="T233" s="15">
        <v>0</v>
      </c>
      <c r="U233" s="17">
        <f t="shared" si="18"/>
        <v>1554.39</v>
      </c>
      <c r="V233" s="12" t="s">
        <v>46</v>
      </c>
      <c r="W233" s="12">
        <v>26</v>
      </c>
    </row>
    <row r="234" spans="4:23" s="12" customFormat="1" ht="30.75" customHeight="1" thickTop="1" thickBot="1" x14ac:dyDescent="0.35">
      <c r="D234" s="10"/>
      <c r="G234" s="13">
        <f t="shared" si="19"/>
        <v>233</v>
      </c>
      <c r="H234" s="18">
        <v>45724</v>
      </c>
      <c r="I234" s="15" t="s">
        <v>28</v>
      </c>
      <c r="J234" s="15">
        <v>159003</v>
      </c>
      <c r="K234" s="15">
        <v>300</v>
      </c>
      <c r="L234" s="15">
        <v>149462.82</v>
      </c>
      <c r="M234" s="16">
        <f t="shared" si="15"/>
        <v>498.20940000000002</v>
      </c>
      <c r="N234" s="15">
        <v>0</v>
      </c>
      <c r="O234" s="16">
        <f t="shared" si="16"/>
        <v>159003</v>
      </c>
      <c r="P234" s="15" t="s">
        <v>29</v>
      </c>
      <c r="Q234" s="15">
        <v>0.02</v>
      </c>
      <c r="R234" s="16">
        <f t="shared" si="17"/>
        <v>3180.06</v>
      </c>
      <c r="S234" s="15">
        <v>0</v>
      </c>
      <c r="T234" s="15">
        <v>0</v>
      </c>
      <c r="U234" s="17">
        <f t="shared" si="18"/>
        <v>3180.06</v>
      </c>
      <c r="V234" s="12" t="s">
        <v>46</v>
      </c>
      <c r="W234" s="12">
        <v>26</v>
      </c>
    </row>
    <row r="235" spans="4:23" s="12" customFormat="1" ht="30.75" customHeight="1" thickTop="1" thickBot="1" x14ac:dyDescent="0.35">
      <c r="D235" s="10"/>
      <c r="G235" s="13">
        <f t="shared" si="19"/>
        <v>234</v>
      </c>
      <c r="H235" s="18">
        <v>45724</v>
      </c>
      <c r="I235" s="15" t="s">
        <v>30</v>
      </c>
      <c r="J235" s="15">
        <v>94089.600000000006</v>
      </c>
      <c r="K235" s="15">
        <v>330</v>
      </c>
      <c r="L235" s="15">
        <v>64921.82</v>
      </c>
      <c r="M235" s="16">
        <f t="shared" si="15"/>
        <v>196.73278787878789</v>
      </c>
      <c r="N235" s="15">
        <v>0</v>
      </c>
      <c r="O235" s="16">
        <f t="shared" si="16"/>
        <v>94089.600000000006</v>
      </c>
      <c r="P235" s="15" t="s">
        <v>18</v>
      </c>
      <c r="Q235" s="15">
        <v>0.06</v>
      </c>
      <c r="R235" s="16">
        <f t="shared" si="17"/>
        <v>5645.3760000000002</v>
      </c>
      <c r="S235" s="15">
        <v>0</v>
      </c>
      <c r="T235" s="15">
        <v>0</v>
      </c>
      <c r="U235" s="17">
        <f t="shared" si="18"/>
        <v>5645.3760000000002</v>
      </c>
      <c r="V235" s="12" t="s">
        <v>46</v>
      </c>
      <c r="W235" s="12">
        <v>26</v>
      </c>
    </row>
    <row r="236" spans="4:23" s="12" customFormat="1" ht="30.75" customHeight="1" thickTop="1" thickBot="1" x14ac:dyDescent="0.35">
      <c r="D236" s="10"/>
      <c r="G236" s="13">
        <f t="shared" si="19"/>
        <v>235</v>
      </c>
      <c r="H236" s="18">
        <v>45724</v>
      </c>
      <c r="I236" s="15" t="s">
        <v>17</v>
      </c>
      <c r="J236" s="15">
        <v>156816</v>
      </c>
      <c r="K236" s="15">
        <v>550</v>
      </c>
      <c r="L236" s="15">
        <v>108203.04</v>
      </c>
      <c r="M236" s="16">
        <f t="shared" si="15"/>
        <v>196.7328</v>
      </c>
      <c r="N236" s="15">
        <v>0</v>
      </c>
      <c r="O236" s="16">
        <f t="shared" si="16"/>
        <v>156816</v>
      </c>
      <c r="P236" s="15" t="s">
        <v>18</v>
      </c>
      <c r="Q236" s="15">
        <v>0.06</v>
      </c>
      <c r="R236" s="16">
        <f t="shared" si="17"/>
        <v>9408.9599999999991</v>
      </c>
      <c r="S236" s="15">
        <v>0</v>
      </c>
      <c r="T236" s="15">
        <v>0</v>
      </c>
      <c r="U236" s="17">
        <f t="shared" si="18"/>
        <v>9408.9599999999991</v>
      </c>
      <c r="V236" s="12" t="s">
        <v>46</v>
      </c>
      <c r="W236" s="12">
        <v>26</v>
      </c>
    </row>
    <row r="237" spans="4:23" s="12" customFormat="1" ht="30.75" customHeight="1" thickTop="1" thickBot="1" x14ac:dyDescent="0.35">
      <c r="D237" s="10"/>
      <c r="G237" s="13">
        <f t="shared" si="19"/>
        <v>236</v>
      </c>
      <c r="H237" s="18">
        <v>45724</v>
      </c>
      <c r="I237" s="15" t="s">
        <v>21</v>
      </c>
      <c r="J237" s="15">
        <v>4464</v>
      </c>
      <c r="K237" s="15">
        <v>20</v>
      </c>
      <c r="L237" s="15">
        <v>4196.1499999999996</v>
      </c>
      <c r="M237" s="16">
        <f t="shared" si="15"/>
        <v>209.80749999999998</v>
      </c>
      <c r="N237" s="15">
        <v>0</v>
      </c>
      <c r="O237" s="16">
        <f t="shared" si="16"/>
        <v>4464</v>
      </c>
      <c r="P237" s="15" t="s">
        <v>18</v>
      </c>
      <c r="Q237" s="15">
        <v>0.06</v>
      </c>
      <c r="R237" s="16">
        <f t="shared" si="17"/>
        <v>267.83999999999997</v>
      </c>
      <c r="S237" s="15">
        <v>0</v>
      </c>
      <c r="T237" s="15">
        <v>0</v>
      </c>
      <c r="U237" s="17">
        <f t="shared" si="18"/>
        <v>267.83999999999997</v>
      </c>
      <c r="V237" s="12" t="s">
        <v>46</v>
      </c>
      <c r="W237" s="12">
        <v>26</v>
      </c>
    </row>
    <row r="238" spans="4:23" s="12" customFormat="1" ht="30.75" customHeight="1" thickTop="1" thickBot="1" x14ac:dyDescent="0.35">
      <c r="D238" s="10"/>
      <c r="G238" s="13">
        <f t="shared" si="19"/>
        <v>237</v>
      </c>
      <c r="H238" s="18">
        <v>45724</v>
      </c>
      <c r="I238" s="15" t="s">
        <v>23</v>
      </c>
      <c r="J238" s="15">
        <v>45000</v>
      </c>
      <c r="K238" s="15">
        <v>250</v>
      </c>
      <c r="L238" s="15">
        <v>42300</v>
      </c>
      <c r="M238" s="16">
        <f t="shared" si="15"/>
        <v>169.2</v>
      </c>
      <c r="N238" s="15">
        <v>0</v>
      </c>
      <c r="O238" s="16">
        <f t="shared" si="16"/>
        <v>45000</v>
      </c>
      <c r="P238" s="15" t="s">
        <v>18</v>
      </c>
      <c r="Q238" s="15">
        <v>0.06</v>
      </c>
      <c r="R238" s="16">
        <f t="shared" si="17"/>
        <v>2700</v>
      </c>
      <c r="S238" s="15">
        <v>0</v>
      </c>
      <c r="T238" s="15">
        <v>0</v>
      </c>
      <c r="U238" s="17">
        <f t="shared" si="18"/>
        <v>2700</v>
      </c>
      <c r="V238" s="12" t="s">
        <v>46</v>
      </c>
      <c r="W238" s="12">
        <v>26</v>
      </c>
    </row>
    <row r="239" spans="4:23" s="12" customFormat="1" ht="30.75" customHeight="1" thickTop="1" thickBot="1" x14ac:dyDescent="0.35">
      <c r="D239" s="10"/>
      <c r="G239" s="13">
        <f t="shared" si="19"/>
        <v>238</v>
      </c>
      <c r="H239" s="18">
        <v>45724</v>
      </c>
      <c r="I239" s="15" t="s">
        <v>24</v>
      </c>
      <c r="J239" s="15">
        <v>9151.2000000000007</v>
      </c>
      <c r="K239" s="15">
        <v>30</v>
      </c>
      <c r="L239" s="15">
        <v>8602.1299999999992</v>
      </c>
      <c r="M239" s="16">
        <f t="shared" si="15"/>
        <v>286.73766666666666</v>
      </c>
      <c r="N239" s="15">
        <v>0</v>
      </c>
      <c r="O239" s="16">
        <f t="shared" si="16"/>
        <v>9151.2000000000007</v>
      </c>
      <c r="P239" s="15" t="s">
        <v>18</v>
      </c>
      <c r="Q239" s="15">
        <v>0.06</v>
      </c>
      <c r="R239" s="16">
        <f t="shared" si="17"/>
        <v>549.072</v>
      </c>
      <c r="S239" s="15">
        <v>0</v>
      </c>
      <c r="T239" s="15">
        <v>0</v>
      </c>
      <c r="U239" s="17">
        <f t="shared" si="18"/>
        <v>549.072</v>
      </c>
      <c r="V239" s="12" t="s">
        <v>46</v>
      </c>
      <c r="W239" s="12">
        <v>26</v>
      </c>
    </row>
    <row r="240" spans="4:23" s="12" customFormat="1" ht="30.75" customHeight="1" thickTop="1" thickBot="1" x14ac:dyDescent="0.35">
      <c r="D240" s="10"/>
      <c r="G240" s="13">
        <f t="shared" si="19"/>
        <v>239</v>
      </c>
      <c r="H240" s="18">
        <v>45724</v>
      </c>
      <c r="I240" s="15" t="s">
        <v>31</v>
      </c>
      <c r="J240" s="15">
        <v>10800</v>
      </c>
      <c r="K240" s="15">
        <v>60</v>
      </c>
      <c r="L240" s="15">
        <v>10152</v>
      </c>
      <c r="M240" s="16">
        <f t="shared" si="15"/>
        <v>169.2</v>
      </c>
      <c r="N240" s="15">
        <v>0</v>
      </c>
      <c r="O240" s="16">
        <f t="shared" si="16"/>
        <v>10800</v>
      </c>
      <c r="P240" s="15" t="s">
        <v>18</v>
      </c>
      <c r="Q240" s="15">
        <v>0.06</v>
      </c>
      <c r="R240" s="16">
        <f t="shared" si="17"/>
        <v>648</v>
      </c>
      <c r="S240" s="15">
        <v>0</v>
      </c>
      <c r="T240" s="15">
        <v>0</v>
      </c>
      <c r="U240" s="17">
        <f t="shared" si="18"/>
        <v>648</v>
      </c>
      <c r="V240" s="12" t="s">
        <v>46</v>
      </c>
      <c r="W240" s="12">
        <v>26</v>
      </c>
    </row>
    <row r="241" spans="4:23" s="12" customFormat="1" ht="30.75" customHeight="1" thickTop="1" thickBot="1" x14ac:dyDescent="0.35">
      <c r="D241" s="10"/>
      <c r="G241" s="13">
        <f t="shared" si="19"/>
        <v>240</v>
      </c>
      <c r="H241" s="18">
        <v>45726</v>
      </c>
      <c r="I241" s="15" t="s">
        <v>30</v>
      </c>
      <c r="J241" s="15">
        <v>59875.199999999997</v>
      </c>
      <c r="K241" s="15">
        <v>210</v>
      </c>
      <c r="L241" s="15">
        <v>41313.89</v>
      </c>
      <c r="M241" s="16">
        <f t="shared" si="15"/>
        <v>196.73280952380952</v>
      </c>
      <c r="N241" s="15">
        <v>0</v>
      </c>
      <c r="O241" s="16">
        <f t="shared" si="16"/>
        <v>59875.199999999997</v>
      </c>
      <c r="P241" s="15" t="s">
        <v>18</v>
      </c>
      <c r="Q241" s="15">
        <v>0.06</v>
      </c>
      <c r="R241" s="16">
        <f t="shared" si="17"/>
        <v>3592.5119999999997</v>
      </c>
      <c r="S241" s="15">
        <v>0</v>
      </c>
      <c r="T241" s="15">
        <v>0</v>
      </c>
      <c r="U241" s="17">
        <f t="shared" si="18"/>
        <v>3592.5119999999997</v>
      </c>
      <c r="V241" s="12" t="s">
        <v>46</v>
      </c>
      <c r="W241" s="12">
        <v>27</v>
      </c>
    </row>
    <row r="242" spans="4:23" s="12" customFormat="1" ht="30.75" customHeight="1" thickTop="1" thickBot="1" x14ac:dyDescent="0.35">
      <c r="D242" s="10"/>
      <c r="G242" s="13">
        <f t="shared" si="19"/>
        <v>241</v>
      </c>
      <c r="H242" s="18">
        <v>45726</v>
      </c>
      <c r="I242" s="15" t="s">
        <v>17</v>
      </c>
      <c r="J242" s="15">
        <v>153964.79999999999</v>
      </c>
      <c r="K242" s="15">
        <v>540</v>
      </c>
      <c r="L242" s="15">
        <v>106235.71</v>
      </c>
      <c r="M242" s="16">
        <f t="shared" si="15"/>
        <v>196.7327962962963</v>
      </c>
      <c r="N242" s="15">
        <v>0</v>
      </c>
      <c r="O242" s="16">
        <f t="shared" si="16"/>
        <v>153964.79999999999</v>
      </c>
      <c r="P242" s="15" t="s">
        <v>18</v>
      </c>
      <c r="Q242" s="15">
        <v>0.06</v>
      </c>
      <c r="R242" s="16">
        <f t="shared" si="17"/>
        <v>9237.887999999999</v>
      </c>
      <c r="S242" s="15">
        <v>0</v>
      </c>
      <c r="T242" s="15">
        <v>0</v>
      </c>
      <c r="U242" s="17">
        <f t="shared" si="18"/>
        <v>9237.887999999999</v>
      </c>
      <c r="V242" s="12" t="s">
        <v>46</v>
      </c>
      <c r="W242" s="12">
        <v>27</v>
      </c>
    </row>
    <row r="243" spans="4:23" s="12" customFormat="1" ht="30.75" customHeight="1" thickTop="1" thickBot="1" x14ac:dyDescent="0.35">
      <c r="D243" s="10"/>
      <c r="G243" s="13">
        <f t="shared" si="19"/>
        <v>242</v>
      </c>
      <c r="H243" s="18">
        <v>45726</v>
      </c>
      <c r="I243" s="15" t="s">
        <v>20</v>
      </c>
      <c r="J243" s="15">
        <v>4320</v>
      </c>
      <c r="K243" s="15">
        <v>15</v>
      </c>
      <c r="L243" s="15">
        <v>4060.8</v>
      </c>
      <c r="M243" s="16">
        <f t="shared" si="15"/>
        <v>270.72000000000003</v>
      </c>
      <c r="N243" s="15">
        <v>0</v>
      </c>
      <c r="O243" s="16">
        <f t="shared" si="16"/>
        <v>4320</v>
      </c>
      <c r="P243" s="15" t="s">
        <v>18</v>
      </c>
      <c r="Q243" s="15">
        <v>0.06</v>
      </c>
      <c r="R243" s="16">
        <f t="shared" si="17"/>
        <v>259.2</v>
      </c>
      <c r="S243" s="15">
        <v>0</v>
      </c>
      <c r="T243" s="15">
        <v>0</v>
      </c>
      <c r="U243" s="17">
        <f t="shared" si="18"/>
        <v>259.2</v>
      </c>
      <c r="V243" s="12" t="s">
        <v>46</v>
      </c>
      <c r="W243" s="12">
        <v>27</v>
      </c>
    </row>
    <row r="244" spans="4:23" s="12" customFormat="1" ht="30.75" customHeight="1" thickTop="1" thickBot="1" x14ac:dyDescent="0.35">
      <c r="D244" s="10"/>
      <c r="G244" s="13">
        <f t="shared" si="19"/>
        <v>243</v>
      </c>
      <c r="H244" s="18">
        <v>45726</v>
      </c>
      <c r="I244" s="15" t="s">
        <v>21</v>
      </c>
      <c r="J244" s="15">
        <v>4464</v>
      </c>
      <c r="K244" s="15">
        <v>20</v>
      </c>
      <c r="L244" s="15">
        <v>4196.16</v>
      </c>
      <c r="M244" s="16">
        <f t="shared" si="15"/>
        <v>209.80799999999999</v>
      </c>
      <c r="N244" s="15">
        <v>0</v>
      </c>
      <c r="O244" s="16">
        <f t="shared" si="16"/>
        <v>4464</v>
      </c>
      <c r="P244" s="15" t="s">
        <v>18</v>
      </c>
      <c r="Q244" s="15">
        <v>0.06</v>
      </c>
      <c r="R244" s="16">
        <f t="shared" si="17"/>
        <v>267.83999999999997</v>
      </c>
      <c r="S244" s="15">
        <v>0</v>
      </c>
      <c r="T244" s="15">
        <v>0</v>
      </c>
      <c r="U244" s="17">
        <f t="shared" si="18"/>
        <v>267.83999999999997</v>
      </c>
      <c r="V244" s="12" t="s">
        <v>46</v>
      </c>
      <c r="W244" s="12">
        <v>27</v>
      </c>
    </row>
    <row r="245" spans="4:23" s="12" customFormat="1" ht="30.75" customHeight="1" thickTop="1" thickBot="1" x14ac:dyDescent="0.35">
      <c r="D245" s="10"/>
      <c r="G245" s="13">
        <f t="shared" si="19"/>
        <v>244</v>
      </c>
      <c r="H245" s="18">
        <v>45726</v>
      </c>
      <c r="I245" s="15" t="s">
        <v>23</v>
      </c>
      <c r="J245" s="15">
        <v>27000</v>
      </c>
      <c r="K245" s="15">
        <v>150</v>
      </c>
      <c r="L245" s="15">
        <v>25380</v>
      </c>
      <c r="M245" s="16">
        <f t="shared" si="15"/>
        <v>169.2</v>
      </c>
      <c r="N245" s="15">
        <v>0</v>
      </c>
      <c r="O245" s="16">
        <f t="shared" si="16"/>
        <v>27000</v>
      </c>
      <c r="P245" s="15" t="s">
        <v>18</v>
      </c>
      <c r="Q245" s="15">
        <v>0.06</v>
      </c>
      <c r="R245" s="16">
        <f t="shared" si="17"/>
        <v>1620</v>
      </c>
      <c r="S245" s="15">
        <v>0</v>
      </c>
      <c r="T245" s="15">
        <v>0</v>
      </c>
      <c r="U245" s="17">
        <f t="shared" si="18"/>
        <v>1620</v>
      </c>
      <c r="V245" s="12" t="s">
        <v>46</v>
      </c>
      <c r="W245" s="12">
        <v>27</v>
      </c>
    </row>
    <row r="246" spans="4:23" s="12" customFormat="1" ht="30.75" customHeight="1" thickTop="1" thickBot="1" x14ac:dyDescent="0.35">
      <c r="D246" s="10"/>
      <c r="G246" s="13">
        <f t="shared" si="19"/>
        <v>245</v>
      </c>
      <c r="H246" s="18">
        <v>45726</v>
      </c>
      <c r="I246" s="15" t="s">
        <v>24</v>
      </c>
      <c r="J246" s="15">
        <v>6100</v>
      </c>
      <c r="K246" s="15">
        <v>20</v>
      </c>
      <c r="L246" s="15">
        <v>5734.75</v>
      </c>
      <c r="M246" s="16">
        <f t="shared" si="15"/>
        <v>286.73750000000001</v>
      </c>
      <c r="N246" s="15">
        <v>0</v>
      </c>
      <c r="O246" s="16">
        <f t="shared" si="16"/>
        <v>6100</v>
      </c>
      <c r="P246" s="15" t="s">
        <v>18</v>
      </c>
      <c r="Q246" s="15">
        <v>0.06</v>
      </c>
      <c r="R246" s="16">
        <f t="shared" si="17"/>
        <v>366</v>
      </c>
      <c r="S246" s="15">
        <v>0</v>
      </c>
      <c r="T246" s="15">
        <v>0</v>
      </c>
      <c r="U246" s="17">
        <f t="shared" si="18"/>
        <v>366</v>
      </c>
      <c r="V246" s="12" t="s">
        <v>46</v>
      </c>
      <c r="W246" s="12">
        <v>27</v>
      </c>
    </row>
    <row r="247" spans="4:23" s="12" customFormat="1" ht="30.75" customHeight="1" thickTop="1" thickBot="1" x14ac:dyDescent="0.35">
      <c r="D247" s="10"/>
      <c r="G247" s="13">
        <f t="shared" si="19"/>
        <v>246</v>
      </c>
      <c r="H247" s="18">
        <v>45728</v>
      </c>
      <c r="I247" s="15" t="s">
        <v>30</v>
      </c>
      <c r="J247" s="15">
        <v>99792</v>
      </c>
      <c r="K247" s="15">
        <v>350</v>
      </c>
      <c r="L247" s="15">
        <v>70014.070000000007</v>
      </c>
      <c r="M247" s="16">
        <f t="shared" si="15"/>
        <v>200.04020000000003</v>
      </c>
      <c r="N247" s="15">
        <v>0</v>
      </c>
      <c r="O247" s="16">
        <f t="shared" si="16"/>
        <v>99792</v>
      </c>
      <c r="P247" s="15" t="s">
        <v>18</v>
      </c>
      <c r="Q247" s="15">
        <v>0.06</v>
      </c>
      <c r="R247" s="16">
        <f t="shared" si="17"/>
        <v>5987.5199999999995</v>
      </c>
      <c r="S247" s="15">
        <v>0</v>
      </c>
      <c r="T247" s="15">
        <v>0</v>
      </c>
      <c r="U247" s="17">
        <f t="shared" si="18"/>
        <v>5987.5199999999995</v>
      </c>
      <c r="V247" s="12" t="s">
        <v>46</v>
      </c>
      <c r="W247" s="12">
        <v>28</v>
      </c>
    </row>
    <row r="248" spans="4:23" s="12" customFormat="1" ht="30.75" customHeight="1" thickTop="1" thickBot="1" x14ac:dyDescent="0.35">
      <c r="D248" s="10"/>
      <c r="G248" s="13">
        <f t="shared" si="19"/>
        <v>247</v>
      </c>
      <c r="H248" s="18">
        <v>45728</v>
      </c>
      <c r="I248" s="15" t="s">
        <v>17</v>
      </c>
      <c r="J248" s="15">
        <v>142560</v>
      </c>
      <c r="K248" s="15">
        <v>500</v>
      </c>
      <c r="L248" s="15">
        <v>100020.1</v>
      </c>
      <c r="M248" s="16">
        <f t="shared" si="15"/>
        <v>200.0402</v>
      </c>
      <c r="N248" s="15">
        <v>0</v>
      </c>
      <c r="O248" s="16">
        <f t="shared" si="16"/>
        <v>142560</v>
      </c>
      <c r="P248" s="15" t="s">
        <v>18</v>
      </c>
      <c r="Q248" s="15">
        <v>0.06</v>
      </c>
      <c r="R248" s="16">
        <f t="shared" si="17"/>
        <v>8553.6</v>
      </c>
      <c r="S248" s="15">
        <v>0</v>
      </c>
      <c r="T248" s="15">
        <v>0</v>
      </c>
      <c r="U248" s="17">
        <f t="shared" si="18"/>
        <v>8553.6</v>
      </c>
      <c r="V248" s="12" t="s">
        <v>46</v>
      </c>
      <c r="W248" s="12">
        <v>28</v>
      </c>
    </row>
    <row r="249" spans="4:23" s="12" customFormat="1" ht="30.75" customHeight="1" thickTop="1" thickBot="1" x14ac:dyDescent="0.35">
      <c r="D249" s="10"/>
      <c r="G249" s="13">
        <f t="shared" si="19"/>
        <v>248</v>
      </c>
      <c r="H249" s="18">
        <v>45728</v>
      </c>
      <c r="I249" s="15" t="s">
        <v>21</v>
      </c>
      <c r="J249" s="15">
        <v>4464</v>
      </c>
      <c r="K249" s="15">
        <v>20</v>
      </c>
      <c r="L249" s="15">
        <v>4196.16</v>
      </c>
      <c r="M249" s="16">
        <f t="shared" si="15"/>
        <v>209.80799999999999</v>
      </c>
      <c r="N249" s="15">
        <v>0</v>
      </c>
      <c r="O249" s="16">
        <f t="shared" si="16"/>
        <v>4464</v>
      </c>
      <c r="P249" s="15" t="s">
        <v>18</v>
      </c>
      <c r="Q249" s="15">
        <v>0.06</v>
      </c>
      <c r="R249" s="16">
        <f t="shared" si="17"/>
        <v>267.83999999999997</v>
      </c>
      <c r="S249" s="15">
        <v>0</v>
      </c>
      <c r="T249" s="15">
        <v>0</v>
      </c>
      <c r="U249" s="17">
        <f t="shared" si="18"/>
        <v>267.83999999999997</v>
      </c>
      <c r="V249" s="12" t="s">
        <v>46</v>
      </c>
      <c r="W249" s="12">
        <v>28</v>
      </c>
    </row>
    <row r="250" spans="4:23" s="12" customFormat="1" ht="30.75" customHeight="1" thickTop="1" thickBot="1" x14ac:dyDescent="0.35">
      <c r="D250" s="10"/>
      <c r="G250" s="13">
        <f t="shared" si="19"/>
        <v>249</v>
      </c>
      <c r="H250" s="18">
        <v>45728</v>
      </c>
      <c r="I250" s="15" t="s">
        <v>23</v>
      </c>
      <c r="J250" s="15">
        <v>45000</v>
      </c>
      <c r="K250" s="15">
        <v>250</v>
      </c>
      <c r="L250" s="15">
        <v>42300</v>
      </c>
      <c r="M250" s="16">
        <f t="shared" si="15"/>
        <v>169.2</v>
      </c>
      <c r="N250" s="15">
        <v>0</v>
      </c>
      <c r="O250" s="16">
        <f t="shared" si="16"/>
        <v>45000</v>
      </c>
      <c r="P250" s="15" t="s">
        <v>18</v>
      </c>
      <c r="Q250" s="15">
        <v>0.06</v>
      </c>
      <c r="R250" s="16">
        <f t="shared" si="17"/>
        <v>2700</v>
      </c>
      <c r="S250" s="15">
        <v>0</v>
      </c>
      <c r="T250" s="15">
        <v>0</v>
      </c>
      <c r="U250" s="17">
        <f t="shared" si="18"/>
        <v>2700</v>
      </c>
      <c r="V250" s="12" t="s">
        <v>46</v>
      </c>
      <c r="W250" s="12">
        <v>28</v>
      </c>
    </row>
    <row r="251" spans="4:23" s="12" customFormat="1" ht="30.75" customHeight="1" thickTop="1" thickBot="1" x14ac:dyDescent="0.35">
      <c r="D251" s="10"/>
      <c r="G251" s="13">
        <f t="shared" si="19"/>
        <v>250</v>
      </c>
      <c r="H251" s="18">
        <v>45728</v>
      </c>
      <c r="I251" s="15" t="s">
        <v>24</v>
      </c>
      <c r="J251" s="15">
        <v>9151.2000000000007</v>
      </c>
      <c r="K251" s="15">
        <v>30</v>
      </c>
      <c r="L251" s="15">
        <v>8602.1299999999992</v>
      </c>
      <c r="M251" s="16">
        <f t="shared" si="15"/>
        <v>286.73766666666666</v>
      </c>
      <c r="N251" s="15">
        <v>0</v>
      </c>
      <c r="O251" s="16">
        <f t="shared" si="16"/>
        <v>9151.2000000000007</v>
      </c>
      <c r="P251" s="15" t="s">
        <v>18</v>
      </c>
      <c r="Q251" s="15">
        <v>0.06</v>
      </c>
      <c r="R251" s="16">
        <f t="shared" si="17"/>
        <v>549.072</v>
      </c>
      <c r="S251" s="15">
        <v>0</v>
      </c>
      <c r="T251" s="15">
        <v>0</v>
      </c>
      <c r="U251" s="17">
        <f t="shared" si="18"/>
        <v>549.072</v>
      </c>
      <c r="V251" s="12" t="s">
        <v>46</v>
      </c>
      <c r="W251" s="12">
        <v>28</v>
      </c>
    </row>
    <row r="252" spans="4:23" s="12" customFormat="1" ht="30.75" customHeight="1" thickTop="1" thickBot="1" x14ac:dyDescent="0.35">
      <c r="D252" s="10"/>
      <c r="G252" s="13">
        <f t="shared" si="19"/>
        <v>251</v>
      </c>
      <c r="H252" s="18">
        <v>45728</v>
      </c>
      <c r="I252" s="15" t="s">
        <v>31</v>
      </c>
      <c r="J252" s="15">
        <v>7200</v>
      </c>
      <c r="K252" s="15">
        <v>40</v>
      </c>
      <c r="L252" s="15">
        <v>6768</v>
      </c>
      <c r="M252" s="16">
        <f t="shared" si="15"/>
        <v>169.2</v>
      </c>
      <c r="N252" s="15">
        <v>0</v>
      </c>
      <c r="O252" s="16">
        <f t="shared" si="16"/>
        <v>7200</v>
      </c>
      <c r="P252" s="15" t="s">
        <v>18</v>
      </c>
      <c r="Q252" s="15">
        <v>0.06</v>
      </c>
      <c r="R252" s="16">
        <f t="shared" si="17"/>
        <v>432</v>
      </c>
      <c r="S252" s="15">
        <v>0</v>
      </c>
      <c r="T252" s="15">
        <v>0</v>
      </c>
      <c r="U252" s="17">
        <f t="shared" si="18"/>
        <v>432</v>
      </c>
      <c r="V252" s="12" t="s">
        <v>46</v>
      </c>
      <c r="W252" s="12">
        <v>28</v>
      </c>
    </row>
    <row r="253" spans="4:23" s="12" customFormat="1" ht="30.75" customHeight="1" thickTop="1" thickBot="1" x14ac:dyDescent="0.35">
      <c r="D253" s="10"/>
      <c r="G253" s="13">
        <f t="shared" si="19"/>
        <v>252</v>
      </c>
      <c r="H253" s="18">
        <v>45731</v>
      </c>
      <c r="I253" s="15" t="s">
        <v>30</v>
      </c>
      <c r="J253" s="15">
        <v>71280</v>
      </c>
      <c r="K253" s="15">
        <v>250</v>
      </c>
      <c r="L253" s="15">
        <v>50722.85</v>
      </c>
      <c r="M253" s="16">
        <f t="shared" si="15"/>
        <v>202.8914</v>
      </c>
      <c r="N253" s="15">
        <v>0</v>
      </c>
      <c r="O253" s="16">
        <f t="shared" si="16"/>
        <v>71280</v>
      </c>
      <c r="P253" s="15" t="s">
        <v>18</v>
      </c>
      <c r="Q253" s="15">
        <v>0.06</v>
      </c>
      <c r="R253" s="16">
        <f t="shared" si="17"/>
        <v>4276.8</v>
      </c>
      <c r="S253" s="15">
        <v>0</v>
      </c>
      <c r="T253" s="15">
        <v>0</v>
      </c>
      <c r="U253" s="17">
        <f t="shared" si="18"/>
        <v>4276.8</v>
      </c>
      <c r="V253" s="12" t="s">
        <v>46</v>
      </c>
      <c r="W253" s="12">
        <v>29</v>
      </c>
    </row>
    <row r="254" spans="4:23" s="12" customFormat="1" ht="30.75" customHeight="1" thickTop="1" thickBot="1" x14ac:dyDescent="0.35">
      <c r="D254" s="10"/>
      <c r="G254" s="13">
        <f t="shared" si="19"/>
        <v>253</v>
      </c>
      <c r="H254" s="18">
        <v>45731</v>
      </c>
      <c r="I254" s="15" t="s">
        <v>17</v>
      </c>
      <c r="J254" s="15">
        <v>142560</v>
      </c>
      <c r="K254" s="15">
        <v>500</v>
      </c>
      <c r="L254" s="15">
        <v>101445.7</v>
      </c>
      <c r="M254" s="16">
        <f t="shared" si="15"/>
        <v>202.8914</v>
      </c>
      <c r="N254" s="15">
        <v>0</v>
      </c>
      <c r="O254" s="16">
        <f t="shared" si="16"/>
        <v>142560</v>
      </c>
      <c r="P254" s="15" t="s">
        <v>18</v>
      </c>
      <c r="Q254" s="15">
        <v>0.06</v>
      </c>
      <c r="R254" s="16">
        <f t="shared" si="17"/>
        <v>8553.6</v>
      </c>
      <c r="S254" s="15">
        <v>0</v>
      </c>
      <c r="T254" s="15">
        <v>0</v>
      </c>
      <c r="U254" s="17">
        <f t="shared" si="18"/>
        <v>8553.6</v>
      </c>
      <c r="V254" s="12" t="s">
        <v>46</v>
      </c>
      <c r="W254" s="12">
        <v>29</v>
      </c>
    </row>
    <row r="255" spans="4:23" s="12" customFormat="1" ht="30.75" customHeight="1" thickTop="1" thickBot="1" x14ac:dyDescent="0.35">
      <c r="D255" s="10"/>
      <c r="G255" s="13">
        <f t="shared" si="19"/>
        <v>254</v>
      </c>
      <c r="H255" s="18">
        <v>45731</v>
      </c>
      <c r="I255" s="15" t="s">
        <v>20</v>
      </c>
      <c r="J255" s="15">
        <v>2880</v>
      </c>
      <c r="K255" s="15">
        <v>10</v>
      </c>
      <c r="L255" s="15">
        <v>2707.2</v>
      </c>
      <c r="M255" s="16">
        <f t="shared" si="15"/>
        <v>270.71999999999997</v>
      </c>
      <c r="N255" s="15">
        <v>0</v>
      </c>
      <c r="O255" s="16">
        <f t="shared" si="16"/>
        <v>2880</v>
      </c>
      <c r="P255" s="15" t="s">
        <v>18</v>
      </c>
      <c r="Q255" s="15">
        <v>0.06</v>
      </c>
      <c r="R255" s="16">
        <f t="shared" si="17"/>
        <v>172.79999999999998</v>
      </c>
      <c r="S255" s="15">
        <v>0</v>
      </c>
      <c r="T255" s="15">
        <v>0</v>
      </c>
      <c r="U255" s="17">
        <f t="shared" si="18"/>
        <v>172.79999999999998</v>
      </c>
      <c r="V255" s="12" t="s">
        <v>46</v>
      </c>
      <c r="W255" s="12">
        <v>29</v>
      </c>
    </row>
    <row r="256" spans="4:23" s="12" customFormat="1" ht="30.75" customHeight="1" thickTop="1" thickBot="1" x14ac:dyDescent="0.35">
      <c r="D256" s="10"/>
      <c r="G256" s="13">
        <f t="shared" si="19"/>
        <v>255</v>
      </c>
      <c r="H256" s="18">
        <v>45731</v>
      </c>
      <c r="I256" s="15" t="s">
        <v>21</v>
      </c>
      <c r="J256" s="15">
        <v>5580</v>
      </c>
      <c r="K256" s="15">
        <v>25</v>
      </c>
      <c r="L256" s="15">
        <v>5245.2</v>
      </c>
      <c r="M256" s="16">
        <f t="shared" si="15"/>
        <v>209.80799999999999</v>
      </c>
      <c r="N256" s="15">
        <v>0</v>
      </c>
      <c r="O256" s="16">
        <f t="shared" si="16"/>
        <v>5580</v>
      </c>
      <c r="P256" s="15" t="s">
        <v>18</v>
      </c>
      <c r="Q256" s="15">
        <v>0.06</v>
      </c>
      <c r="R256" s="16">
        <f t="shared" si="17"/>
        <v>334.8</v>
      </c>
      <c r="S256" s="15">
        <v>0</v>
      </c>
      <c r="T256" s="15">
        <v>0</v>
      </c>
      <c r="U256" s="17">
        <f t="shared" si="18"/>
        <v>334.8</v>
      </c>
      <c r="V256" s="12" t="s">
        <v>46</v>
      </c>
      <c r="W256" s="12">
        <v>29</v>
      </c>
    </row>
    <row r="257" spans="4:23" s="12" customFormat="1" ht="30.75" customHeight="1" thickTop="1" thickBot="1" x14ac:dyDescent="0.35">
      <c r="D257" s="10"/>
      <c r="G257" s="13">
        <f t="shared" si="19"/>
        <v>256</v>
      </c>
      <c r="H257" s="18">
        <v>45731</v>
      </c>
      <c r="I257" s="15" t="s">
        <v>23</v>
      </c>
      <c r="J257" s="15">
        <v>45000</v>
      </c>
      <c r="K257" s="15">
        <v>250</v>
      </c>
      <c r="L257" s="15">
        <v>42300</v>
      </c>
      <c r="M257" s="16">
        <f t="shared" si="15"/>
        <v>169.2</v>
      </c>
      <c r="N257" s="15">
        <v>0</v>
      </c>
      <c r="O257" s="16">
        <f t="shared" si="16"/>
        <v>45000</v>
      </c>
      <c r="P257" s="15" t="s">
        <v>18</v>
      </c>
      <c r="Q257" s="15">
        <v>0.06</v>
      </c>
      <c r="R257" s="16">
        <f t="shared" si="17"/>
        <v>2700</v>
      </c>
      <c r="S257" s="15">
        <v>0</v>
      </c>
      <c r="T257" s="15">
        <v>0</v>
      </c>
      <c r="U257" s="17">
        <f t="shared" si="18"/>
        <v>2700</v>
      </c>
      <c r="V257" s="12" t="s">
        <v>46</v>
      </c>
      <c r="W257" s="12">
        <v>29</v>
      </c>
    </row>
    <row r="258" spans="4:23" s="12" customFormat="1" ht="30.75" customHeight="1" thickTop="1" thickBot="1" x14ac:dyDescent="0.35">
      <c r="D258" s="10"/>
      <c r="G258" s="13">
        <f t="shared" si="19"/>
        <v>257</v>
      </c>
      <c r="H258" s="18">
        <v>45731</v>
      </c>
      <c r="I258" s="15" t="s">
        <v>24</v>
      </c>
      <c r="J258" s="15">
        <v>9151.2000000000007</v>
      </c>
      <c r="K258" s="15">
        <v>30</v>
      </c>
      <c r="L258" s="15">
        <v>8602.1299999999992</v>
      </c>
      <c r="M258" s="16">
        <f t="shared" ref="M258:M321" si="20">IFERROR(L258/K258,"")</f>
        <v>286.73766666666666</v>
      </c>
      <c r="N258" s="15">
        <v>0</v>
      </c>
      <c r="O258" s="16">
        <f t="shared" ref="O258:O321" si="21">J258-N258</f>
        <v>9151.2000000000007</v>
      </c>
      <c r="P258" s="15" t="s">
        <v>18</v>
      </c>
      <c r="Q258" s="15">
        <v>0.06</v>
      </c>
      <c r="R258" s="16">
        <f t="shared" ref="R258:R321" si="22">J258*Q258</f>
        <v>549.072</v>
      </c>
      <c r="S258" s="15">
        <v>0</v>
      </c>
      <c r="T258" s="15">
        <v>0</v>
      </c>
      <c r="U258" s="17">
        <f t="shared" ref="U258:U321" si="23">T258+S258+R258</f>
        <v>549.072</v>
      </c>
      <c r="V258" s="12" t="s">
        <v>46</v>
      </c>
      <c r="W258" s="12">
        <v>29</v>
      </c>
    </row>
    <row r="259" spans="4:23" s="12" customFormat="1" ht="30.75" customHeight="1" thickTop="1" thickBot="1" x14ac:dyDescent="0.35">
      <c r="D259" s="10"/>
      <c r="G259" s="13">
        <f t="shared" si="19"/>
        <v>258</v>
      </c>
      <c r="H259" s="18">
        <v>45731</v>
      </c>
      <c r="I259" s="15" t="s">
        <v>31</v>
      </c>
      <c r="J259" s="15">
        <v>6300</v>
      </c>
      <c r="K259" s="15">
        <v>35</v>
      </c>
      <c r="L259" s="15">
        <v>5922</v>
      </c>
      <c r="M259" s="16">
        <f t="shared" si="20"/>
        <v>169.2</v>
      </c>
      <c r="N259" s="15">
        <v>0</v>
      </c>
      <c r="O259" s="16">
        <f t="shared" si="21"/>
        <v>6300</v>
      </c>
      <c r="P259" s="15" t="s">
        <v>18</v>
      </c>
      <c r="Q259" s="15">
        <v>0.06</v>
      </c>
      <c r="R259" s="16">
        <f t="shared" si="22"/>
        <v>378</v>
      </c>
      <c r="S259" s="15">
        <v>0</v>
      </c>
      <c r="T259" s="15">
        <v>0</v>
      </c>
      <c r="U259" s="17">
        <f t="shared" si="23"/>
        <v>378</v>
      </c>
      <c r="V259" s="12" t="s">
        <v>46</v>
      </c>
      <c r="W259" s="12">
        <v>29</v>
      </c>
    </row>
    <row r="260" spans="4:23" s="12" customFormat="1" ht="30.75" customHeight="1" thickTop="1" thickBot="1" x14ac:dyDescent="0.35">
      <c r="D260" s="10"/>
      <c r="G260" s="13">
        <f t="shared" ref="G260:G323" si="24">G259+1</f>
        <v>259</v>
      </c>
      <c r="H260" s="18">
        <v>45733</v>
      </c>
      <c r="I260" s="15" t="s">
        <v>30</v>
      </c>
      <c r="J260" s="15">
        <v>85536</v>
      </c>
      <c r="K260" s="15">
        <v>300</v>
      </c>
      <c r="L260" s="15">
        <v>62372.85</v>
      </c>
      <c r="M260" s="16">
        <f t="shared" si="20"/>
        <v>207.90950000000001</v>
      </c>
      <c r="N260" s="15">
        <v>0</v>
      </c>
      <c r="O260" s="16">
        <f t="shared" si="21"/>
        <v>85536</v>
      </c>
      <c r="P260" s="15" t="s">
        <v>18</v>
      </c>
      <c r="Q260" s="15">
        <v>0.06</v>
      </c>
      <c r="R260" s="16">
        <f t="shared" si="22"/>
        <v>5132.16</v>
      </c>
      <c r="S260" s="15">
        <v>0</v>
      </c>
      <c r="T260" s="15">
        <v>0</v>
      </c>
      <c r="U260" s="17">
        <f t="shared" si="23"/>
        <v>5132.16</v>
      </c>
      <c r="V260" s="12" t="s">
        <v>46</v>
      </c>
      <c r="W260" s="12">
        <v>30</v>
      </c>
    </row>
    <row r="261" spans="4:23" s="12" customFormat="1" ht="30.75" customHeight="1" thickTop="1" thickBot="1" x14ac:dyDescent="0.35">
      <c r="D261" s="10"/>
      <c r="G261" s="13">
        <f t="shared" si="24"/>
        <v>260</v>
      </c>
      <c r="H261" s="18">
        <v>45733</v>
      </c>
      <c r="I261" s="15" t="s">
        <v>17</v>
      </c>
      <c r="J261" s="15">
        <v>142560</v>
      </c>
      <c r="K261" s="15">
        <v>500</v>
      </c>
      <c r="L261" s="15">
        <v>103954.75</v>
      </c>
      <c r="M261" s="16">
        <f t="shared" si="20"/>
        <v>207.90950000000001</v>
      </c>
      <c r="N261" s="15">
        <v>0</v>
      </c>
      <c r="O261" s="16">
        <f t="shared" si="21"/>
        <v>142560</v>
      </c>
      <c r="P261" s="15" t="s">
        <v>18</v>
      </c>
      <c r="Q261" s="15">
        <v>0.06</v>
      </c>
      <c r="R261" s="16">
        <f t="shared" si="22"/>
        <v>8553.6</v>
      </c>
      <c r="S261" s="15">
        <v>0</v>
      </c>
      <c r="T261" s="15">
        <v>0</v>
      </c>
      <c r="U261" s="17">
        <f t="shared" si="23"/>
        <v>8553.6</v>
      </c>
      <c r="V261" s="12" t="s">
        <v>46</v>
      </c>
      <c r="W261" s="12">
        <v>30</v>
      </c>
    </row>
    <row r="262" spans="4:23" s="12" customFormat="1" ht="30.75" customHeight="1" thickTop="1" thickBot="1" x14ac:dyDescent="0.35">
      <c r="D262" s="10"/>
      <c r="G262" s="13">
        <f t="shared" si="24"/>
        <v>261</v>
      </c>
      <c r="H262" s="18">
        <v>45733</v>
      </c>
      <c r="I262" s="15" t="s">
        <v>21</v>
      </c>
      <c r="J262" s="15">
        <v>7812</v>
      </c>
      <c r="K262" s="15">
        <v>35</v>
      </c>
      <c r="L262" s="15">
        <v>7343.28</v>
      </c>
      <c r="M262" s="16">
        <f t="shared" si="20"/>
        <v>209.80799999999999</v>
      </c>
      <c r="N262" s="15">
        <v>0</v>
      </c>
      <c r="O262" s="16">
        <f t="shared" si="21"/>
        <v>7812</v>
      </c>
      <c r="P262" s="15" t="s">
        <v>18</v>
      </c>
      <c r="Q262" s="15">
        <v>0.06</v>
      </c>
      <c r="R262" s="16">
        <f t="shared" si="22"/>
        <v>468.71999999999997</v>
      </c>
      <c r="S262" s="15">
        <v>0</v>
      </c>
      <c r="T262" s="15">
        <v>0</v>
      </c>
      <c r="U262" s="17">
        <f t="shared" si="23"/>
        <v>468.71999999999997</v>
      </c>
      <c r="V262" s="12" t="s">
        <v>46</v>
      </c>
      <c r="W262" s="12">
        <v>30</v>
      </c>
    </row>
    <row r="263" spans="4:23" s="12" customFormat="1" ht="30.75" customHeight="1" thickTop="1" thickBot="1" x14ac:dyDescent="0.35">
      <c r="D263" s="10"/>
      <c r="G263" s="13">
        <f t="shared" si="24"/>
        <v>262</v>
      </c>
      <c r="H263" s="18">
        <v>45733</v>
      </c>
      <c r="I263" s="15" t="s">
        <v>23</v>
      </c>
      <c r="J263" s="15">
        <v>45000</v>
      </c>
      <c r="K263" s="15">
        <v>250</v>
      </c>
      <c r="L263" s="15">
        <v>39285</v>
      </c>
      <c r="M263" s="16">
        <f t="shared" si="20"/>
        <v>157.13999999999999</v>
      </c>
      <c r="N263" s="15">
        <v>0</v>
      </c>
      <c r="O263" s="16">
        <f t="shared" si="21"/>
        <v>45000</v>
      </c>
      <c r="P263" s="15" t="s">
        <v>18</v>
      </c>
      <c r="Q263" s="15">
        <v>0.06</v>
      </c>
      <c r="R263" s="16">
        <f t="shared" si="22"/>
        <v>2700</v>
      </c>
      <c r="S263" s="15">
        <v>0</v>
      </c>
      <c r="T263" s="15">
        <v>0</v>
      </c>
      <c r="U263" s="17">
        <f t="shared" si="23"/>
        <v>2700</v>
      </c>
      <c r="V263" s="12" t="s">
        <v>46</v>
      </c>
      <c r="W263" s="12">
        <v>30</v>
      </c>
    </row>
    <row r="264" spans="4:23" s="12" customFormat="1" ht="30.75" customHeight="1" thickTop="1" thickBot="1" x14ac:dyDescent="0.35">
      <c r="D264" s="10"/>
      <c r="G264" s="13">
        <f t="shared" si="24"/>
        <v>263</v>
      </c>
      <c r="H264" s="18">
        <v>45735</v>
      </c>
      <c r="I264" s="15" t="s">
        <v>48</v>
      </c>
      <c r="J264" s="15">
        <v>21075</v>
      </c>
      <c r="K264" s="15">
        <v>75</v>
      </c>
      <c r="L264" s="15">
        <v>19810.5</v>
      </c>
      <c r="M264" s="16">
        <f t="shared" si="20"/>
        <v>264.14</v>
      </c>
      <c r="N264" s="15">
        <v>0</v>
      </c>
      <c r="O264" s="16">
        <f t="shared" si="21"/>
        <v>21075</v>
      </c>
      <c r="P264" s="15" t="s">
        <v>26</v>
      </c>
      <c r="Q264" s="15">
        <v>0.02</v>
      </c>
      <c r="R264" s="16">
        <f t="shared" si="22"/>
        <v>421.5</v>
      </c>
      <c r="S264" s="15">
        <v>0</v>
      </c>
      <c r="T264" s="15">
        <v>0</v>
      </c>
      <c r="U264" s="17">
        <f t="shared" si="23"/>
        <v>421.5</v>
      </c>
      <c r="V264" s="12" t="s">
        <v>46</v>
      </c>
      <c r="W264" s="12">
        <v>128</v>
      </c>
    </row>
    <row r="265" spans="4:23" s="12" customFormat="1" ht="30.75" customHeight="1" thickTop="1" thickBot="1" x14ac:dyDescent="0.35">
      <c r="D265" s="10"/>
      <c r="G265" s="13">
        <f t="shared" si="24"/>
        <v>264</v>
      </c>
      <c r="H265" s="18">
        <v>45735</v>
      </c>
      <c r="I265" s="15" t="s">
        <v>30</v>
      </c>
      <c r="J265" s="15">
        <v>71280</v>
      </c>
      <c r="K265" s="15">
        <v>250</v>
      </c>
      <c r="L265" s="15">
        <v>51977.38</v>
      </c>
      <c r="M265" s="16">
        <f t="shared" si="20"/>
        <v>207.90951999999999</v>
      </c>
      <c r="N265" s="15">
        <v>0</v>
      </c>
      <c r="O265" s="16">
        <f t="shared" si="21"/>
        <v>71280</v>
      </c>
      <c r="P265" s="15" t="s">
        <v>18</v>
      </c>
      <c r="Q265" s="15">
        <v>0.06</v>
      </c>
      <c r="R265" s="16">
        <f t="shared" si="22"/>
        <v>4276.8</v>
      </c>
      <c r="S265" s="15">
        <v>0</v>
      </c>
      <c r="T265" s="15">
        <v>0</v>
      </c>
      <c r="U265" s="17">
        <f t="shared" si="23"/>
        <v>4276.8</v>
      </c>
      <c r="V265" s="12" t="s">
        <v>46</v>
      </c>
      <c r="W265" s="12">
        <v>31</v>
      </c>
    </row>
    <row r="266" spans="4:23" s="12" customFormat="1" ht="30.75" customHeight="1" thickTop="1" thickBot="1" x14ac:dyDescent="0.35">
      <c r="D266" s="10"/>
      <c r="G266" s="13">
        <f t="shared" si="24"/>
        <v>265</v>
      </c>
      <c r="H266" s="18">
        <v>45735</v>
      </c>
      <c r="I266" s="15" t="s">
        <v>21</v>
      </c>
      <c r="J266" s="15">
        <v>5580</v>
      </c>
      <c r="K266" s="15">
        <v>25</v>
      </c>
      <c r="L266" s="15">
        <v>5245.2</v>
      </c>
      <c r="M266" s="16">
        <f t="shared" si="20"/>
        <v>209.80799999999999</v>
      </c>
      <c r="N266" s="15">
        <v>0</v>
      </c>
      <c r="O266" s="16">
        <f t="shared" si="21"/>
        <v>5580</v>
      </c>
      <c r="P266" s="15" t="s">
        <v>18</v>
      </c>
      <c r="Q266" s="15">
        <v>0.06</v>
      </c>
      <c r="R266" s="16">
        <f t="shared" si="22"/>
        <v>334.8</v>
      </c>
      <c r="S266" s="15">
        <v>0</v>
      </c>
      <c r="T266" s="15">
        <v>0</v>
      </c>
      <c r="U266" s="17">
        <f t="shared" si="23"/>
        <v>334.8</v>
      </c>
      <c r="V266" s="12" t="s">
        <v>46</v>
      </c>
      <c r="W266" s="12">
        <v>31</v>
      </c>
    </row>
    <row r="267" spans="4:23" s="12" customFormat="1" ht="30.75" customHeight="1" thickTop="1" thickBot="1" x14ac:dyDescent="0.35">
      <c r="D267" s="10"/>
      <c r="G267" s="13">
        <f t="shared" si="24"/>
        <v>266</v>
      </c>
      <c r="H267" s="18">
        <v>45735</v>
      </c>
      <c r="I267" s="15" t="s">
        <v>23</v>
      </c>
      <c r="J267" s="15">
        <v>54000</v>
      </c>
      <c r="K267" s="15">
        <v>300</v>
      </c>
      <c r="L267" s="15">
        <v>47142</v>
      </c>
      <c r="M267" s="16">
        <f t="shared" si="20"/>
        <v>157.13999999999999</v>
      </c>
      <c r="N267" s="15">
        <v>0</v>
      </c>
      <c r="O267" s="16">
        <f t="shared" si="21"/>
        <v>54000</v>
      </c>
      <c r="P267" s="15" t="s">
        <v>18</v>
      </c>
      <c r="Q267" s="15">
        <v>0.06</v>
      </c>
      <c r="R267" s="16">
        <f t="shared" si="22"/>
        <v>3240</v>
      </c>
      <c r="S267" s="15">
        <v>0</v>
      </c>
      <c r="T267" s="15">
        <v>0</v>
      </c>
      <c r="U267" s="17">
        <f t="shared" si="23"/>
        <v>3240</v>
      </c>
      <c r="V267" s="12" t="s">
        <v>46</v>
      </c>
      <c r="W267" s="12">
        <v>31</v>
      </c>
    </row>
    <row r="268" spans="4:23" s="12" customFormat="1" ht="30.75" customHeight="1" thickTop="1" thickBot="1" x14ac:dyDescent="0.35">
      <c r="D268" s="10"/>
      <c r="G268" s="13">
        <f t="shared" si="24"/>
        <v>267</v>
      </c>
      <c r="H268" s="18">
        <v>45735</v>
      </c>
      <c r="I268" s="15" t="s">
        <v>31</v>
      </c>
      <c r="J268" s="15">
        <v>4500</v>
      </c>
      <c r="K268" s="15">
        <v>25</v>
      </c>
      <c r="L268" s="15">
        <v>3928.5</v>
      </c>
      <c r="M268" s="16">
        <f t="shared" si="20"/>
        <v>157.13999999999999</v>
      </c>
      <c r="N268" s="15">
        <v>0</v>
      </c>
      <c r="O268" s="16">
        <f t="shared" si="21"/>
        <v>4500</v>
      </c>
      <c r="P268" s="15" t="s">
        <v>18</v>
      </c>
      <c r="Q268" s="15">
        <v>0.06</v>
      </c>
      <c r="R268" s="16">
        <f t="shared" si="22"/>
        <v>270</v>
      </c>
      <c r="S268" s="15">
        <v>0</v>
      </c>
      <c r="T268" s="15">
        <v>0</v>
      </c>
      <c r="U268" s="17">
        <f t="shared" si="23"/>
        <v>270</v>
      </c>
      <c r="V268" s="12" t="s">
        <v>46</v>
      </c>
      <c r="W268" s="12">
        <v>31</v>
      </c>
    </row>
    <row r="269" spans="4:23" s="12" customFormat="1" ht="30.75" customHeight="1" thickTop="1" thickBot="1" x14ac:dyDescent="0.35">
      <c r="D269" s="10"/>
      <c r="G269" s="13">
        <f t="shared" si="24"/>
        <v>268</v>
      </c>
      <c r="H269" s="18">
        <v>45738</v>
      </c>
      <c r="I269" s="15" t="s">
        <v>30</v>
      </c>
      <c r="J269" s="15">
        <v>99792</v>
      </c>
      <c r="K269" s="15">
        <v>350</v>
      </c>
      <c r="L269" s="15">
        <v>72768.33</v>
      </c>
      <c r="M269" s="16">
        <f t="shared" si="20"/>
        <v>207.90951428571429</v>
      </c>
      <c r="N269" s="15">
        <v>0</v>
      </c>
      <c r="O269" s="16">
        <f t="shared" si="21"/>
        <v>99792</v>
      </c>
      <c r="P269" s="15" t="s">
        <v>18</v>
      </c>
      <c r="Q269" s="15">
        <v>0.06</v>
      </c>
      <c r="R269" s="16">
        <f t="shared" si="22"/>
        <v>5987.5199999999995</v>
      </c>
      <c r="S269" s="15">
        <v>0</v>
      </c>
      <c r="T269" s="15">
        <v>0</v>
      </c>
      <c r="U269" s="17">
        <f t="shared" si="23"/>
        <v>5987.5199999999995</v>
      </c>
      <c r="V269" s="12" t="s">
        <v>46</v>
      </c>
      <c r="W269" s="12">
        <v>32</v>
      </c>
    </row>
    <row r="270" spans="4:23" s="12" customFormat="1" ht="30.75" customHeight="1" thickTop="1" thickBot="1" x14ac:dyDescent="0.35">
      <c r="D270" s="10"/>
      <c r="G270" s="13">
        <f t="shared" si="24"/>
        <v>269</v>
      </c>
      <c r="H270" s="18">
        <v>45738</v>
      </c>
      <c r="I270" s="15" t="s">
        <v>17</v>
      </c>
      <c r="J270" s="15">
        <v>128304</v>
      </c>
      <c r="K270" s="15">
        <v>450</v>
      </c>
      <c r="L270" s="15">
        <v>93559.28</v>
      </c>
      <c r="M270" s="16">
        <f t="shared" si="20"/>
        <v>207.9095111111111</v>
      </c>
      <c r="N270" s="15">
        <v>0</v>
      </c>
      <c r="O270" s="16">
        <f t="shared" si="21"/>
        <v>128304</v>
      </c>
      <c r="P270" s="15" t="s">
        <v>18</v>
      </c>
      <c r="Q270" s="15">
        <v>0.06</v>
      </c>
      <c r="R270" s="16">
        <f t="shared" si="22"/>
        <v>7698.24</v>
      </c>
      <c r="S270" s="15">
        <v>0</v>
      </c>
      <c r="T270" s="15">
        <v>0</v>
      </c>
      <c r="U270" s="17">
        <f t="shared" si="23"/>
        <v>7698.24</v>
      </c>
      <c r="V270" s="12" t="s">
        <v>46</v>
      </c>
      <c r="W270" s="12">
        <v>32</v>
      </c>
    </row>
    <row r="271" spans="4:23" s="12" customFormat="1" ht="30.75" customHeight="1" thickTop="1" thickBot="1" x14ac:dyDescent="0.35">
      <c r="D271" s="10"/>
      <c r="G271" s="13">
        <f t="shared" si="24"/>
        <v>270</v>
      </c>
      <c r="H271" s="18">
        <v>45738</v>
      </c>
      <c r="I271" s="15" t="s">
        <v>20</v>
      </c>
      <c r="J271" s="15">
        <v>1440</v>
      </c>
      <c r="K271" s="15">
        <v>5</v>
      </c>
      <c r="L271" s="15">
        <v>1353.6</v>
      </c>
      <c r="M271" s="16">
        <f t="shared" si="20"/>
        <v>270.71999999999997</v>
      </c>
      <c r="N271" s="15">
        <v>0</v>
      </c>
      <c r="O271" s="16">
        <f t="shared" si="21"/>
        <v>1440</v>
      </c>
      <c r="P271" s="15" t="s">
        <v>18</v>
      </c>
      <c r="Q271" s="15">
        <v>0.06</v>
      </c>
      <c r="R271" s="16">
        <f t="shared" si="22"/>
        <v>86.399999999999991</v>
      </c>
      <c r="S271" s="15">
        <v>0</v>
      </c>
      <c r="T271" s="15">
        <v>0</v>
      </c>
      <c r="U271" s="17">
        <f t="shared" si="23"/>
        <v>86.399999999999991</v>
      </c>
      <c r="V271" s="12" t="s">
        <v>46</v>
      </c>
      <c r="W271" s="12">
        <v>32</v>
      </c>
    </row>
    <row r="272" spans="4:23" s="12" customFormat="1" ht="30.75" customHeight="1" thickTop="1" thickBot="1" x14ac:dyDescent="0.35">
      <c r="D272" s="10"/>
      <c r="G272" s="13">
        <f t="shared" si="24"/>
        <v>271</v>
      </c>
      <c r="H272" s="18">
        <v>45738</v>
      </c>
      <c r="I272" s="15" t="s">
        <v>21</v>
      </c>
      <c r="J272" s="15">
        <v>5580</v>
      </c>
      <c r="K272" s="15">
        <v>25</v>
      </c>
      <c r="L272" s="15">
        <v>5245.2</v>
      </c>
      <c r="M272" s="16">
        <f t="shared" si="20"/>
        <v>209.80799999999999</v>
      </c>
      <c r="N272" s="15">
        <v>0</v>
      </c>
      <c r="O272" s="16">
        <f t="shared" si="21"/>
        <v>5580</v>
      </c>
      <c r="P272" s="15" t="s">
        <v>18</v>
      </c>
      <c r="Q272" s="15">
        <v>0.06</v>
      </c>
      <c r="R272" s="16">
        <f t="shared" si="22"/>
        <v>334.8</v>
      </c>
      <c r="S272" s="15">
        <v>0</v>
      </c>
      <c r="T272" s="15">
        <v>0</v>
      </c>
      <c r="U272" s="17">
        <f t="shared" si="23"/>
        <v>334.8</v>
      </c>
      <c r="V272" s="12" t="s">
        <v>46</v>
      </c>
      <c r="W272" s="12">
        <v>32</v>
      </c>
    </row>
    <row r="273" spans="4:23" s="12" customFormat="1" ht="30.75" customHeight="1" thickTop="1" thickBot="1" x14ac:dyDescent="0.35">
      <c r="D273" s="10"/>
      <c r="G273" s="13">
        <f t="shared" si="24"/>
        <v>272</v>
      </c>
      <c r="H273" s="18">
        <v>45738</v>
      </c>
      <c r="I273" s="15" t="s">
        <v>23</v>
      </c>
      <c r="J273" s="15">
        <v>54000</v>
      </c>
      <c r="K273" s="15">
        <v>300</v>
      </c>
      <c r="L273" s="15">
        <v>47142</v>
      </c>
      <c r="M273" s="16">
        <f t="shared" si="20"/>
        <v>157.13999999999999</v>
      </c>
      <c r="N273" s="15">
        <v>0</v>
      </c>
      <c r="O273" s="16">
        <f t="shared" si="21"/>
        <v>54000</v>
      </c>
      <c r="P273" s="15" t="s">
        <v>18</v>
      </c>
      <c r="Q273" s="15">
        <v>0.06</v>
      </c>
      <c r="R273" s="16">
        <f t="shared" si="22"/>
        <v>3240</v>
      </c>
      <c r="S273" s="15">
        <v>0</v>
      </c>
      <c r="T273" s="15">
        <v>0</v>
      </c>
      <c r="U273" s="17">
        <f t="shared" si="23"/>
        <v>3240</v>
      </c>
      <c r="V273" s="12" t="s">
        <v>46</v>
      </c>
      <c r="W273" s="12">
        <v>32</v>
      </c>
    </row>
    <row r="274" spans="4:23" s="12" customFormat="1" ht="30.75" customHeight="1" thickTop="1" thickBot="1" x14ac:dyDescent="0.35">
      <c r="D274" s="10"/>
      <c r="G274" s="13">
        <f t="shared" si="24"/>
        <v>273</v>
      </c>
      <c r="H274" s="18">
        <v>45738</v>
      </c>
      <c r="I274" s="15" t="s">
        <v>24</v>
      </c>
      <c r="J274" s="15">
        <v>9151.2000000000007</v>
      </c>
      <c r="K274" s="15">
        <v>30</v>
      </c>
      <c r="L274" s="15">
        <v>7881.9</v>
      </c>
      <c r="M274" s="16">
        <f t="shared" si="20"/>
        <v>262.72999999999996</v>
      </c>
      <c r="N274" s="15">
        <v>0</v>
      </c>
      <c r="O274" s="16">
        <f t="shared" si="21"/>
        <v>9151.2000000000007</v>
      </c>
      <c r="P274" s="15" t="s">
        <v>18</v>
      </c>
      <c r="Q274" s="15">
        <v>0.06</v>
      </c>
      <c r="R274" s="16">
        <f t="shared" si="22"/>
        <v>549.072</v>
      </c>
      <c r="S274" s="15">
        <v>0</v>
      </c>
      <c r="T274" s="15">
        <v>0</v>
      </c>
      <c r="U274" s="17">
        <f t="shared" si="23"/>
        <v>549.072</v>
      </c>
      <c r="V274" s="12" t="s">
        <v>46</v>
      </c>
      <c r="W274" s="12">
        <v>32</v>
      </c>
    </row>
    <row r="275" spans="4:23" s="12" customFormat="1" ht="30.75" customHeight="1" thickTop="1" thickBot="1" x14ac:dyDescent="0.35">
      <c r="D275" s="10"/>
      <c r="G275" s="13">
        <f t="shared" si="24"/>
        <v>274</v>
      </c>
      <c r="H275" s="18">
        <v>45738</v>
      </c>
      <c r="I275" s="15" t="s">
        <v>45</v>
      </c>
      <c r="J275" s="15">
        <v>3015</v>
      </c>
      <c r="K275" s="15">
        <v>5</v>
      </c>
      <c r="L275" s="15">
        <v>2701.44</v>
      </c>
      <c r="M275" s="16">
        <f t="shared" si="20"/>
        <v>540.28800000000001</v>
      </c>
      <c r="N275" s="15">
        <v>0</v>
      </c>
      <c r="O275" s="16">
        <f t="shared" si="21"/>
        <v>3015</v>
      </c>
      <c r="P275" s="15" t="s">
        <v>33</v>
      </c>
      <c r="Q275" s="15">
        <v>0.01</v>
      </c>
      <c r="R275" s="16">
        <f t="shared" si="22"/>
        <v>30.150000000000002</v>
      </c>
      <c r="S275" s="15">
        <v>0</v>
      </c>
      <c r="T275" s="15">
        <v>0</v>
      </c>
      <c r="U275" s="17">
        <f t="shared" si="23"/>
        <v>30.150000000000002</v>
      </c>
      <c r="V275" s="12" t="s">
        <v>46</v>
      </c>
      <c r="W275" s="12">
        <v>32</v>
      </c>
    </row>
    <row r="276" spans="4:23" s="12" customFormat="1" ht="30.75" customHeight="1" thickTop="1" thickBot="1" x14ac:dyDescent="0.35">
      <c r="D276" s="10"/>
      <c r="G276" s="13">
        <f t="shared" si="24"/>
        <v>275</v>
      </c>
      <c r="H276" s="18">
        <v>45738</v>
      </c>
      <c r="I276" s="15" t="s">
        <v>32</v>
      </c>
      <c r="J276" s="15">
        <v>9045</v>
      </c>
      <c r="K276" s="15">
        <v>15</v>
      </c>
      <c r="L276" s="15">
        <v>8104.32</v>
      </c>
      <c r="M276" s="16">
        <f t="shared" si="20"/>
        <v>540.28800000000001</v>
      </c>
      <c r="N276" s="15">
        <v>0</v>
      </c>
      <c r="O276" s="16">
        <f t="shared" si="21"/>
        <v>9045</v>
      </c>
      <c r="P276" s="15" t="s">
        <v>33</v>
      </c>
      <c r="Q276" s="15">
        <v>0.01</v>
      </c>
      <c r="R276" s="16">
        <f t="shared" si="22"/>
        <v>90.45</v>
      </c>
      <c r="S276" s="15">
        <v>0</v>
      </c>
      <c r="T276" s="15">
        <v>0</v>
      </c>
      <c r="U276" s="17">
        <f t="shared" si="23"/>
        <v>90.45</v>
      </c>
      <c r="V276" s="12" t="s">
        <v>46</v>
      </c>
      <c r="W276" s="12">
        <v>32</v>
      </c>
    </row>
    <row r="277" spans="4:23" s="12" customFormat="1" ht="30.75" customHeight="1" thickTop="1" thickBot="1" x14ac:dyDescent="0.35">
      <c r="D277" s="10"/>
      <c r="G277" s="13">
        <f t="shared" si="24"/>
        <v>276</v>
      </c>
      <c r="H277" s="18">
        <v>45738</v>
      </c>
      <c r="I277" s="15" t="s">
        <v>47</v>
      </c>
      <c r="J277" s="15">
        <v>17401</v>
      </c>
      <c r="K277" s="15">
        <v>50</v>
      </c>
      <c r="L277" s="15">
        <v>15782.71</v>
      </c>
      <c r="M277" s="16">
        <f t="shared" si="20"/>
        <v>315.6542</v>
      </c>
      <c r="N277" s="15">
        <v>0</v>
      </c>
      <c r="O277" s="16">
        <f t="shared" si="21"/>
        <v>17401</v>
      </c>
      <c r="P277" s="15" t="s">
        <v>26</v>
      </c>
      <c r="Q277" s="15">
        <v>0.02</v>
      </c>
      <c r="R277" s="16">
        <f t="shared" si="22"/>
        <v>348.02</v>
      </c>
      <c r="S277" s="15">
        <v>0</v>
      </c>
      <c r="T277" s="15">
        <v>0</v>
      </c>
      <c r="U277" s="17">
        <f t="shared" si="23"/>
        <v>348.02</v>
      </c>
      <c r="V277" s="12" t="s">
        <v>46</v>
      </c>
      <c r="W277" s="12">
        <v>32</v>
      </c>
    </row>
    <row r="278" spans="4:23" s="12" customFormat="1" ht="30.75" customHeight="1" thickTop="1" thickBot="1" x14ac:dyDescent="0.35">
      <c r="D278" s="10"/>
      <c r="G278" s="13">
        <f t="shared" si="24"/>
        <v>277</v>
      </c>
      <c r="H278" s="18">
        <v>45738</v>
      </c>
      <c r="I278" s="15" t="s">
        <v>39</v>
      </c>
      <c r="J278" s="15">
        <v>8700</v>
      </c>
      <c r="K278" s="15">
        <v>25</v>
      </c>
      <c r="L278" s="15">
        <v>7647.74</v>
      </c>
      <c r="M278" s="16">
        <f t="shared" si="20"/>
        <v>305.90960000000001</v>
      </c>
      <c r="N278" s="15">
        <v>0</v>
      </c>
      <c r="O278" s="16">
        <f t="shared" si="21"/>
        <v>8700</v>
      </c>
      <c r="P278" s="15" t="s">
        <v>26</v>
      </c>
      <c r="Q278" s="15">
        <v>0.02</v>
      </c>
      <c r="R278" s="16">
        <f t="shared" si="22"/>
        <v>174</v>
      </c>
      <c r="S278" s="15">
        <v>0</v>
      </c>
      <c r="T278" s="15">
        <v>0</v>
      </c>
      <c r="U278" s="17">
        <f t="shared" si="23"/>
        <v>174</v>
      </c>
      <c r="V278" s="12" t="s">
        <v>46</v>
      </c>
      <c r="W278" s="12">
        <v>32</v>
      </c>
    </row>
    <row r="279" spans="4:23" s="12" customFormat="1" ht="30.75" customHeight="1" thickTop="1" thickBot="1" x14ac:dyDescent="0.35">
      <c r="D279" s="10"/>
      <c r="G279" s="13">
        <f t="shared" si="24"/>
        <v>278</v>
      </c>
      <c r="H279" s="18">
        <v>45738</v>
      </c>
      <c r="I279" s="15" t="s">
        <v>25</v>
      </c>
      <c r="J279" s="15">
        <v>60020</v>
      </c>
      <c r="K279" s="15">
        <v>250</v>
      </c>
      <c r="L279" s="15">
        <v>47553.85</v>
      </c>
      <c r="M279" s="16">
        <f t="shared" si="20"/>
        <v>190.21539999999999</v>
      </c>
      <c r="N279" s="15">
        <v>0</v>
      </c>
      <c r="O279" s="16">
        <f t="shared" si="21"/>
        <v>60020</v>
      </c>
      <c r="P279" s="15" t="s">
        <v>26</v>
      </c>
      <c r="Q279" s="15">
        <v>0.02</v>
      </c>
      <c r="R279" s="16">
        <f t="shared" si="22"/>
        <v>1200.4000000000001</v>
      </c>
      <c r="S279" s="15">
        <v>0</v>
      </c>
      <c r="T279" s="15">
        <v>0</v>
      </c>
      <c r="U279" s="17">
        <f t="shared" si="23"/>
        <v>1200.4000000000001</v>
      </c>
      <c r="V279" s="12" t="s">
        <v>46</v>
      </c>
      <c r="W279" s="12">
        <v>32</v>
      </c>
    </row>
    <row r="280" spans="4:23" s="12" customFormat="1" ht="30.75" customHeight="1" thickTop="1" thickBot="1" x14ac:dyDescent="0.35">
      <c r="D280" s="10"/>
      <c r="G280" s="13">
        <f t="shared" si="24"/>
        <v>279</v>
      </c>
      <c r="H280" s="18">
        <v>45738</v>
      </c>
      <c r="I280" s="15" t="s">
        <v>30</v>
      </c>
      <c r="J280" s="15">
        <v>74131.199999999997</v>
      </c>
      <c r="K280" s="15">
        <v>260</v>
      </c>
      <c r="L280" s="15">
        <v>54056.47</v>
      </c>
      <c r="M280" s="16">
        <f t="shared" si="20"/>
        <v>207.90950000000001</v>
      </c>
      <c r="N280" s="15">
        <v>0</v>
      </c>
      <c r="O280" s="16">
        <f t="shared" si="21"/>
        <v>74131.199999999997</v>
      </c>
      <c r="P280" s="15" t="s">
        <v>18</v>
      </c>
      <c r="Q280" s="15">
        <v>0.06</v>
      </c>
      <c r="R280" s="16">
        <f t="shared" si="22"/>
        <v>4447.8719999999994</v>
      </c>
      <c r="S280" s="15">
        <v>0</v>
      </c>
      <c r="T280" s="15">
        <v>0</v>
      </c>
      <c r="U280" s="17">
        <f t="shared" si="23"/>
        <v>4447.8719999999994</v>
      </c>
      <c r="V280" s="12" t="s">
        <v>46</v>
      </c>
      <c r="W280" s="12">
        <v>123</v>
      </c>
    </row>
    <row r="281" spans="4:23" s="12" customFormat="1" ht="30.75" customHeight="1" thickTop="1" thickBot="1" x14ac:dyDescent="0.35">
      <c r="D281" s="10"/>
      <c r="G281" s="13">
        <f t="shared" si="24"/>
        <v>280</v>
      </c>
      <c r="H281" s="18">
        <v>45738</v>
      </c>
      <c r="I281" s="15" t="s">
        <v>17</v>
      </c>
      <c r="J281" s="15">
        <v>119750.39999999999</v>
      </c>
      <c r="K281" s="15">
        <v>420</v>
      </c>
      <c r="L281" s="15">
        <v>87321.99</v>
      </c>
      <c r="M281" s="16">
        <f t="shared" si="20"/>
        <v>207.90950000000001</v>
      </c>
      <c r="N281" s="15">
        <v>0</v>
      </c>
      <c r="O281" s="16">
        <f t="shared" si="21"/>
        <v>119750.39999999999</v>
      </c>
      <c r="P281" s="15" t="s">
        <v>18</v>
      </c>
      <c r="Q281" s="15">
        <v>0.06</v>
      </c>
      <c r="R281" s="16">
        <f t="shared" si="22"/>
        <v>7185.0239999999994</v>
      </c>
      <c r="S281" s="15">
        <v>0</v>
      </c>
      <c r="T281" s="15">
        <v>0</v>
      </c>
      <c r="U281" s="17">
        <f t="shared" si="23"/>
        <v>7185.0239999999994</v>
      </c>
      <c r="V281" s="12" t="s">
        <v>46</v>
      </c>
      <c r="W281" s="12">
        <v>123</v>
      </c>
    </row>
    <row r="282" spans="4:23" s="12" customFormat="1" ht="30.75" customHeight="1" thickTop="1" thickBot="1" x14ac:dyDescent="0.35">
      <c r="D282" s="10"/>
      <c r="G282" s="13">
        <f t="shared" si="24"/>
        <v>281</v>
      </c>
      <c r="H282" s="18">
        <v>45738</v>
      </c>
      <c r="I282" s="36" t="s">
        <v>20</v>
      </c>
      <c r="J282" s="15">
        <v>2880</v>
      </c>
      <c r="K282" s="15">
        <v>10</v>
      </c>
      <c r="L282" s="15">
        <v>2707.2</v>
      </c>
      <c r="M282" s="16">
        <f t="shared" si="20"/>
        <v>270.71999999999997</v>
      </c>
      <c r="N282" s="15">
        <v>0</v>
      </c>
      <c r="O282" s="16">
        <f t="shared" si="21"/>
        <v>2880</v>
      </c>
      <c r="P282" s="15" t="s">
        <v>18</v>
      </c>
      <c r="Q282" s="15">
        <v>0.06</v>
      </c>
      <c r="R282" s="16">
        <f t="shared" si="22"/>
        <v>172.79999999999998</v>
      </c>
      <c r="S282" s="15">
        <v>0</v>
      </c>
      <c r="T282" s="15">
        <v>0</v>
      </c>
      <c r="U282" s="17">
        <f t="shared" si="23"/>
        <v>172.79999999999998</v>
      </c>
      <c r="V282" s="12" t="s">
        <v>46</v>
      </c>
      <c r="W282" s="12">
        <v>123</v>
      </c>
    </row>
    <row r="283" spans="4:23" s="12" customFormat="1" ht="30.75" customHeight="1" thickTop="1" thickBot="1" x14ac:dyDescent="0.35">
      <c r="D283" s="10"/>
      <c r="G283" s="13">
        <f t="shared" si="24"/>
        <v>282</v>
      </c>
      <c r="H283" s="18">
        <v>45738</v>
      </c>
      <c r="I283" s="15" t="s">
        <v>21</v>
      </c>
      <c r="J283" s="15">
        <v>4240.8</v>
      </c>
      <c r="K283" s="15">
        <v>19</v>
      </c>
      <c r="L283" s="15">
        <v>3986.35</v>
      </c>
      <c r="M283" s="16">
        <f t="shared" si="20"/>
        <v>209.80789473684209</v>
      </c>
      <c r="N283" s="15">
        <v>0</v>
      </c>
      <c r="O283" s="16">
        <f t="shared" si="21"/>
        <v>4240.8</v>
      </c>
      <c r="P283" s="15" t="s">
        <v>18</v>
      </c>
      <c r="Q283" s="15">
        <v>0.06</v>
      </c>
      <c r="R283" s="16">
        <f t="shared" si="22"/>
        <v>254.44800000000001</v>
      </c>
      <c r="S283" s="15">
        <v>0</v>
      </c>
      <c r="T283" s="15">
        <v>0</v>
      </c>
      <c r="U283" s="17">
        <f t="shared" si="23"/>
        <v>254.44800000000001</v>
      </c>
      <c r="V283" s="12" t="s">
        <v>46</v>
      </c>
      <c r="W283" s="12">
        <v>123</v>
      </c>
    </row>
    <row r="284" spans="4:23" s="12" customFormat="1" ht="30.75" customHeight="1" thickTop="1" thickBot="1" x14ac:dyDescent="0.35">
      <c r="D284" s="10"/>
      <c r="G284" s="13">
        <f t="shared" si="24"/>
        <v>283</v>
      </c>
      <c r="H284" s="18">
        <v>45738</v>
      </c>
      <c r="I284" s="15" t="s">
        <v>23</v>
      </c>
      <c r="J284" s="15">
        <v>27000</v>
      </c>
      <c r="K284" s="15">
        <v>150</v>
      </c>
      <c r="L284" s="15">
        <v>23571</v>
      </c>
      <c r="M284" s="16">
        <f t="shared" si="20"/>
        <v>157.13999999999999</v>
      </c>
      <c r="N284" s="15">
        <v>0</v>
      </c>
      <c r="O284" s="16">
        <f t="shared" si="21"/>
        <v>27000</v>
      </c>
      <c r="P284" s="15" t="s">
        <v>18</v>
      </c>
      <c r="Q284" s="15">
        <v>0.06</v>
      </c>
      <c r="R284" s="16">
        <f t="shared" si="22"/>
        <v>1620</v>
      </c>
      <c r="S284" s="15">
        <v>0</v>
      </c>
      <c r="T284" s="15">
        <v>0</v>
      </c>
      <c r="U284" s="17">
        <f t="shared" si="23"/>
        <v>1620</v>
      </c>
      <c r="V284" s="12" t="s">
        <v>46</v>
      </c>
      <c r="W284" s="12">
        <v>123</v>
      </c>
    </row>
    <row r="285" spans="4:23" s="12" customFormat="1" ht="30.75" customHeight="1" thickTop="1" thickBot="1" x14ac:dyDescent="0.35">
      <c r="D285" s="10"/>
      <c r="G285" s="13">
        <f t="shared" si="24"/>
        <v>284</v>
      </c>
      <c r="H285" s="18">
        <v>45738</v>
      </c>
      <c r="I285" s="15" t="s">
        <v>24</v>
      </c>
      <c r="J285" s="15">
        <v>12201.6</v>
      </c>
      <c r="K285" s="15">
        <v>40</v>
      </c>
      <c r="L285" s="15">
        <v>10509.24</v>
      </c>
      <c r="M285" s="16">
        <f t="shared" si="20"/>
        <v>262.73099999999999</v>
      </c>
      <c r="N285" s="15">
        <v>0</v>
      </c>
      <c r="O285" s="16">
        <f t="shared" si="21"/>
        <v>12201.6</v>
      </c>
      <c r="P285" s="15" t="s">
        <v>18</v>
      </c>
      <c r="Q285" s="15">
        <v>0.06</v>
      </c>
      <c r="R285" s="16">
        <f t="shared" si="22"/>
        <v>732.096</v>
      </c>
      <c r="S285" s="15">
        <v>0</v>
      </c>
      <c r="T285" s="15">
        <v>0</v>
      </c>
      <c r="U285" s="17">
        <f t="shared" si="23"/>
        <v>732.096</v>
      </c>
      <c r="V285" s="12" t="s">
        <v>46</v>
      </c>
      <c r="W285" s="12">
        <v>123</v>
      </c>
    </row>
    <row r="286" spans="4:23" s="12" customFormat="1" ht="30.75" customHeight="1" thickTop="1" thickBot="1" x14ac:dyDescent="0.35">
      <c r="D286" s="10"/>
      <c r="G286" s="13">
        <f t="shared" si="24"/>
        <v>285</v>
      </c>
      <c r="H286" s="18">
        <v>45738</v>
      </c>
      <c r="I286" s="15" t="s">
        <v>31</v>
      </c>
      <c r="J286" s="15">
        <v>4500</v>
      </c>
      <c r="K286" s="15">
        <v>25</v>
      </c>
      <c r="L286" s="15">
        <v>3928.5</v>
      </c>
      <c r="M286" s="16">
        <f t="shared" si="20"/>
        <v>157.13999999999999</v>
      </c>
      <c r="N286" s="15">
        <v>0</v>
      </c>
      <c r="O286" s="16">
        <f t="shared" si="21"/>
        <v>4500</v>
      </c>
      <c r="P286" s="15" t="s">
        <v>18</v>
      </c>
      <c r="Q286" s="15">
        <v>0.06</v>
      </c>
      <c r="R286" s="16">
        <f t="shared" si="22"/>
        <v>270</v>
      </c>
      <c r="S286" s="15">
        <v>0</v>
      </c>
      <c r="T286" s="15">
        <v>0</v>
      </c>
      <c r="U286" s="17">
        <f t="shared" si="23"/>
        <v>270</v>
      </c>
      <c r="V286" s="12" t="s">
        <v>46</v>
      </c>
      <c r="W286" s="12">
        <v>123</v>
      </c>
    </row>
    <row r="287" spans="4:23" s="12" customFormat="1" ht="30.75" customHeight="1" thickTop="1" thickBot="1" x14ac:dyDescent="0.35">
      <c r="D287" s="10"/>
      <c r="G287" s="13">
        <f t="shared" si="24"/>
        <v>286</v>
      </c>
      <c r="H287" s="18">
        <v>45742</v>
      </c>
      <c r="I287" s="15" t="s">
        <v>30</v>
      </c>
      <c r="J287" s="15">
        <v>74131.199999999997</v>
      </c>
      <c r="K287" s="15">
        <v>260</v>
      </c>
      <c r="L287" s="15">
        <v>54056.47</v>
      </c>
      <c r="M287" s="16">
        <f t="shared" si="20"/>
        <v>207.90950000000001</v>
      </c>
      <c r="N287" s="15">
        <v>0</v>
      </c>
      <c r="O287" s="16">
        <f t="shared" si="21"/>
        <v>74131.199999999997</v>
      </c>
      <c r="P287" s="15" t="s">
        <v>18</v>
      </c>
      <c r="Q287" s="15">
        <v>0.06</v>
      </c>
      <c r="R287" s="16">
        <f t="shared" si="22"/>
        <v>4447.8719999999994</v>
      </c>
      <c r="S287" s="15">
        <v>0</v>
      </c>
      <c r="T287" s="15">
        <v>0</v>
      </c>
      <c r="U287" s="17">
        <f t="shared" si="23"/>
        <v>4447.8719999999994</v>
      </c>
      <c r="V287" s="12" t="s">
        <v>46</v>
      </c>
      <c r="W287" s="12">
        <v>33</v>
      </c>
    </row>
    <row r="288" spans="4:23" s="12" customFormat="1" ht="30.75" customHeight="1" thickTop="1" thickBot="1" x14ac:dyDescent="0.35">
      <c r="D288" s="10"/>
      <c r="G288" s="13">
        <f t="shared" si="24"/>
        <v>287</v>
      </c>
      <c r="H288" s="18">
        <v>45742</v>
      </c>
      <c r="I288" s="15" t="s">
        <v>17</v>
      </c>
      <c r="J288" s="15">
        <v>96940.800000000003</v>
      </c>
      <c r="K288" s="15">
        <v>340</v>
      </c>
      <c r="L288" s="15">
        <v>70689.23</v>
      </c>
      <c r="M288" s="16">
        <f t="shared" si="20"/>
        <v>207.90949999999998</v>
      </c>
      <c r="N288" s="15">
        <v>0</v>
      </c>
      <c r="O288" s="16">
        <f t="shared" si="21"/>
        <v>96940.800000000003</v>
      </c>
      <c r="P288" s="15" t="s">
        <v>18</v>
      </c>
      <c r="Q288" s="15">
        <v>0.06</v>
      </c>
      <c r="R288" s="16">
        <f t="shared" si="22"/>
        <v>5816.4480000000003</v>
      </c>
      <c r="S288" s="15">
        <v>0</v>
      </c>
      <c r="T288" s="15">
        <v>0</v>
      </c>
      <c r="U288" s="17">
        <f t="shared" si="23"/>
        <v>5816.4480000000003</v>
      </c>
      <c r="V288" s="12" t="s">
        <v>46</v>
      </c>
      <c r="W288" s="12">
        <v>33</v>
      </c>
    </row>
    <row r="289" spans="4:23" s="12" customFormat="1" ht="30.75" customHeight="1" thickTop="1" thickBot="1" x14ac:dyDescent="0.35">
      <c r="D289" s="10"/>
      <c r="G289" s="13">
        <f t="shared" si="24"/>
        <v>288</v>
      </c>
      <c r="H289" s="18">
        <v>45742</v>
      </c>
      <c r="I289" s="36" t="s">
        <v>20</v>
      </c>
      <c r="J289" s="15">
        <v>2880</v>
      </c>
      <c r="K289" s="15">
        <v>10</v>
      </c>
      <c r="L289" s="15">
        <v>2707.2</v>
      </c>
      <c r="M289" s="16">
        <f t="shared" si="20"/>
        <v>270.71999999999997</v>
      </c>
      <c r="N289" s="15">
        <v>0</v>
      </c>
      <c r="O289" s="16">
        <f t="shared" si="21"/>
        <v>2880</v>
      </c>
      <c r="P289" s="15" t="s">
        <v>18</v>
      </c>
      <c r="Q289" s="15">
        <v>0.06</v>
      </c>
      <c r="R289" s="16">
        <f t="shared" si="22"/>
        <v>172.79999999999998</v>
      </c>
      <c r="S289" s="15">
        <v>0</v>
      </c>
      <c r="T289" s="15">
        <v>0</v>
      </c>
      <c r="U289" s="17">
        <f t="shared" si="23"/>
        <v>172.79999999999998</v>
      </c>
      <c r="V289" s="12" t="s">
        <v>46</v>
      </c>
      <c r="W289" s="12">
        <v>33</v>
      </c>
    </row>
    <row r="290" spans="4:23" s="12" customFormat="1" ht="30.75" customHeight="1" thickTop="1" thickBot="1" x14ac:dyDescent="0.35">
      <c r="D290" s="10"/>
      <c r="G290" s="13">
        <f t="shared" si="24"/>
        <v>289</v>
      </c>
      <c r="H290" s="18">
        <v>45742</v>
      </c>
      <c r="I290" s="15" t="s">
        <v>21</v>
      </c>
      <c r="J290" s="15">
        <v>2232</v>
      </c>
      <c r="K290" s="15">
        <v>10</v>
      </c>
      <c r="L290" s="15">
        <v>2098.08</v>
      </c>
      <c r="M290" s="16">
        <f t="shared" si="20"/>
        <v>209.80799999999999</v>
      </c>
      <c r="N290" s="15">
        <v>0</v>
      </c>
      <c r="O290" s="16">
        <f t="shared" si="21"/>
        <v>2232</v>
      </c>
      <c r="P290" s="15" t="s">
        <v>18</v>
      </c>
      <c r="Q290" s="15">
        <v>0.06</v>
      </c>
      <c r="R290" s="16">
        <f t="shared" si="22"/>
        <v>133.91999999999999</v>
      </c>
      <c r="S290" s="15">
        <v>0</v>
      </c>
      <c r="T290" s="15">
        <v>0</v>
      </c>
      <c r="U290" s="17">
        <f t="shared" si="23"/>
        <v>133.91999999999999</v>
      </c>
      <c r="V290" s="12" t="s">
        <v>46</v>
      </c>
      <c r="W290" s="12">
        <v>33</v>
      </c>
    </row>
    <row r="291" spans="4:23" s="12" customFormat="1" ht="30.75" customHeight="1" thickTop="1" thickBot="1" x14ac:dyDescent="0.35">
      <c r="D291" s="10"/>
      <c r="G291" s="13">
        <f t="shared" si="24"/>
        <v>290</v>
      </c>
      <c r="H291" s="18">
        <v>45742</v>
      </c>
      <c r="I291" s="15" t="s">
        <v>23</v>
      </c>
      <c r="J291" s="15">
        <v>36000</v>
      </c>
      <c r="K291" s="15">
        <v>200</v>
      </c>
      <c r="L291" s="15">
        <v>31428</v>
      </c>
      <c r="M291" s="16">
        <f t="shared" si="20"/>
        <v>157.13999999999999</v>
      </c>
      <c r="N291" s="15">
        <v>0</v>
      </c>
      <c r="O291" s="16">
        <f t="shared" si="21"/>
        <v>36000</v>
      </c>
      <c r="P291" s="15" t="s">
        <v>18</v>
      </c>
      <c r="Q291" s="15">
        <v>0.06</v>
      </c>
      <c r="R291" s="16">
        <f t="shared" si="22"/>
        <v>2160</v>
      </c>
      <c r="S291" s="15">
        <v>0</v>
      </c>
      <c r="T291" s="15">
        <v>0</v>
      </c>
      <c r="U291" s="17">
        <f t="shared" si="23"/>
        <v>2160</v>
      </c>
      <c r="V291" s="12" t="s">
        <v>46</v>
      </c>
      <c r="W291" s="12">
        <v>33</v>
      </c>
    </row>
    <row r="292" spans="4:23" s="12" customFormat="1" ht="30.75" customHeight="1" thickTop="1" thickBot="1" x14ac:dyDescent="0.35">
      <c r="D292" s="10"/>
      <c r="G292" s="13">
        <f t="shared" si="24"/>
        <v>291</v>
      </c>
      <c r="H292" s="18">
        <v>45742</v>
      </c>
      <c r="I292" s="15" t="s">
        <v>24</v>
      </c>
      <c r="J292" s="15">
        <v>7626</v>
      </c>
      <c r="K292" s="15">
        <v>25</v>
      </c>
      <c r="L292" s="15">
        <v>6568.27</v>
      </c>
      <c r="M292" s="16">
        <f t="shared" si="20"/>
        <v>262.73080000000004</v>
      </c>
      <c r="N292" s="15">
        <v>0</v>
      </c>
      <c r="O292" s="16">
        <f t="shared" si="21"/>
        <v>7626</v>
      </c>
      <c r="P292" s="15" t="s">
        <v>18</v>
      </c>
      <c r="Q292" s="15">
        <v>0.06</v>
      </c>
      <c r="R292" s="16">
        <f t="shared" si="22"/>
        <v>457.56</v>
      </c>
      <c r="S292" s="15">
        <v>0</v>
      </c>
      <c r="T292" s="15">
        <v>0</v>
      </c>
      <c r="U292" s="17">
        <f t="shared" si="23"/>
        <v>457.56</v>
      </c>
      <c r="V292" s="12" t="s">
        <v>46</v>
      </c>
      <c r="W292" s="12">
        <v>33</v>
      </c>
    </row>
    <row r="293" spans="4:23" s="12" customFormat="1" ht="30.75" customHeight="1" thickTop="1" thickBot="1" x14ac:dyDescent="0.35">
      <c r="D293" s="10"/>
      <c r="G293" s="13">
        <f t="shared" si="24"/>
        <v>292</v>
      </c>
      <c r="H293" s="18">
        <v>45742</v>
      </c>
      <c r="I293" s="15" t="s">
        <v>30</v>
      </c>
      <c r="J293" s="15">
        <v>62726.400000000001</v>
      </c>
      <c r="K293" s="15">
        <v>220</v>
      </c>
      <c r="L293" s="15">
        <v>45740.09</v>
      </c>
      <c r="M293" s="16">
        <f t="shared" si="20"/>
        <v>207.90949999999998</v>
      </c>
      <c r="N293" s="15">
        <v>0</v>
      </c>
      <c r="O293" s="16">
        <f t="shared" si="21"/>
        <v>62726.400000000001</v>
      </c>
      <c r="P293" s="15" t="s">
        <v>18</v>
      </c>
      <c r="Q293" s="15">
        <v>0.06</v>
      </c>
      <c r="R293" s="16">
        <f t="shared" si="22"/>
        <v>3763.5839999999998</v>
      </c>
      <c r="S293" s="15">
        <v>0</v>
      </c>
      <c r="T293" s="15">
        <v>0</v>
      </c>
      <c r="U293" s="17">
        <f t="shared" si="23"/>
        <v>3763.5839999999998</v>
      </c>
      <c r="V293" s="12" t="s">
        <v>46</v>
      </c>
      <c r="W293" s="12">
        <v>124</v>
      </c>
    </row>
    <row r="294" spans="4:23" s="12" customFormat="1" ht="30.75" customHeight="1" thickTop="1" thickBot="1" x14ac:dyDescent="0.35">
      <c r="D294" s="10"/>
      <c r="G294" s="13">
        <f t="shared" si="24"/>
        <v>293</v>
      </c>
      <c r="H294" s="18">
        <v>45742</v>
      </c>
      <c r="I294" s="15" t="s">
        <v>17</v>
      </c>
      <c r="J294" s="15">
        <v>108345.60000000001</v>
      </c>
      <c r="K294" s="15">
        <v>380</v>
      </c>
      <c r="L294" s="15">
        <v>79005.61</v>
      </c>
      <c r="M294" s="16">
        <f t="shared" si="20"/>
        <v>207.90950000000001</v>
      </c>
      <c r="N294" s="15">
        <v>0</v>
      </c>
      <c r="O294" s="16">
        <f t="shared" si="21"/>
        <v>108345.60000000001</v>
      </c>
      <c r="P294" s="15" t="s">
        <v>18</v>
      </c>
      <c r="Q294" s="15">
        <v>0.06</v>
      </c>
      <c r="R294" s="16">
        <f t="shared" si="22"/>
        <v>6500.7359999999999</v>
      </c>
      <c r="S294" s="15">
        <v>0</v>
      </c>
      <c r="T294" s="15">
        <v>0</v>
      </c>
      <c r="U294" s="17">
        <f t="shared" si="23"/>
        <v>6500.7359999999999</v>
      </c>
      <c r="V294" s="12" t="s">
        <v>46</v>
      </c>
      <c r="W294" s="12">
        <v>124</v>
      </c>
    </row>
    <row r="295" spans="4:23" s="12" customFormat="1" ht="30.75" customHeight="1" thickTop="1" thickBot="1" x14ac:dyDescent="0.35">
      <c r="D295" s="10"/>
      <c r="G295" s="13">
        <f t="shared" si="24"/>
        <v>294</v>
      </c>
      <c r="H295" s="18">
        <v>45742</v>
      </c>
      <c r="I295" s="36" t="s">
        <v>20</v>
      </c>
      <c r="J295" s="15">
        <v>1440</v>
      </c>
      <c r="K295" s="15">
        <v>5</v>
      </c>
      <c r="L295" s="15">
        <v>1353.6</v>
      </c>
      <c r="M295" s="16">
        <f t="shared" si="20"/>
        <v>270.71999999999997</v>
      </c>
      <c r="N295" s="15">
        <v>0</v>
      </c>
      <c r="O295" s="16">
        <f t="shared" si="21"/>
        <v>1440</v>
      </c>
      <c r="P295" s="15" t="s">
        <v>18</v>
      </c>
      <c r="Q295" s="15">
        <v>0.06</v>
      </c>
      <c r="R295" s="16">
        <f t="shared" si="22"/>
        <v>86.399999999999991</v>
      </c>
      <c r="S295" s="15">
        <v>-5640</v>
      </c>
      <c r="T295" s="15">
        <v>0</v>
      </c>
      <c r="U295" s="17">
        <f t="shared" si="23"/>
        <v>-5553.6</v>
      </c>
      <c r="V295" s="12" t="s">
        <v>46</v>
      </c>
      <c r="W295" s="12">
        <v>124</v>
      </c>
    </row>
    <row r="296" spans="4:23" s="12" customFormat="1" ht="30.75" customHeight="1" thickTop="1" thickBot="1" x14ac:dyDescent="0.35">
      <c r="D296" s="10"/>
      <c r="G296" s="13">
        <f t="shared" si="24"/>
        <v>295</v>
      </c>
      <c r="H296" s="18">
        <v>45742</v>
      </c>
      <c r="I296" s="15" t="s">
        <v>23</v>
      </c>
      <c r="J296" s="15">
        <v>25200</v>
      </c>
      <c r="K296" s="15">
        <v>140</v>
      </c>
      <c r="L296" s="15">
        <v>21999.599999999999</v>
      </c>
      <c r="M296" s="16">
        <f t="shared" si="20"/>
        <v>157.13999999999999</v>
      </c>
      <c r="N296" s="15">
        <v>0</v>
      </c>
      <c r="O296" s="16">
        <f t="shared" si="21"/>
        <v>25200</v>
      </c>
      <c r="P296" s="15" t="s">
        <v>18</v>
      </c>
      <c r="Q296" s="15">
        <v>0.06</v>
      </c>
      <c r="R296" s="16">
        <f t="shared" si="22"/>
        <v>1512</v>
      </c>
      <c r="S296" s="15">
        <v>14000</v>
      </c>
      <c r="T296" s="15">
        <v>0</v>
      </c>
      <c r="U296" s="17">
        <f t="shared" si="23"/>
        <v>15512</v>
      </c>
      <c r="V296" s="12" t="s">
        <v>46</v>
      </c>
      <c r="W296" s="12">
        <v>124</v>
      </c>
    </row>
    <row r="297" spans="4:23" s="12" customFormat="1" ht="30.75" customHeight="1" thickTop="1" thickBot="1" x14ac:dyDescent="0.35">
      <c r="D297" s="10"/>
      <c r="G297" s="13">
        <f t="shared" si="24"/>
        <v>296</v>
      </c>
      <c r="H297" s="18">
        <v>45742</v>
      </c>
      <c r="I297" s="15" t="s">
        <v>24</v>
      </c>
      <c r="J297" s="15">
        <v>3050.4</v>
      </c>
      <c r="K297" s="15">
        <v>10</v>
      </c>
      <c r="L297" s="15">
        <v>2627.31</v>
      </c>
      <c r="M297" s="16">
        <f t="shared" si="20"/>
        <v>262.73099999999999</v>
      </c>
      <c r="N297" s="15">
        <v>0</v>
      </c>
      <c r="O297" s="16">
        <f t="shared" si="21"/>
        <v>3050.4</v>
      </c>
      <c r="P297" s="15" t="s">
        <v>18</v>
      </c>
      <c r="Q297" s="15">
        <v>0.06</v>
      </c>
      <c r="R297" s="16">
        <f t="shared" si="22"/>
        <v>183.024</v>
      </c>
      <c r="S297" s="15">
        <v>0</v>
      </c>
      <c r="T297" s="15">
        <v>0</v>
      </c>
      <c r="U297" s="17">
        <f t="shared" si="23"/>
        <v>183.024</v>
      </c>
      <c r="V297" s="12" t="s">
        <v>46</v>
      </c>
      <c r="W297" s="12">
        <v>124</v>
      </c>
    </row>
    <row r="298" spans="4:23" s="10" customFormat="1" ht="30.75" customHeight="1" thickTop="1" thickBot="1" x14ac:dyDescent="0.35">
      <c r="G298" s="25">
        <f t="shared" si="24"/>
        <v>297</v>
      </c>
      <c r="H298" s="26">
        <v>45742</v>
      </c>
      <c r="I298" s="16" t="s">
        <v>31</v>
      </c>
      <c r="J298" s="16">
        <v>1800</v>
      </c>
      <c r="K298" s="16">
        <v>10</v>
      </c>
      <c r="L298" s="16">
        <v>1571.4</v>
      </c>
      <c r="M298" s="16">
        <f t="shared" si="20"/>
        <v>157.14000000000001</v>
      </c>
      <c r="N298" s="15">
        <v>0</v>
      </c>
      <c r="O298" s="16">
        <f t="shared" si="21"/>
        <v>1800</v>
      </c>
      <c r="P298" s="15" t="s">
        <v>18</v>
      </c>
      <c r="Q298" s="15">
        <v>0.06</v>
      </c>
      <c r="R298" s="16">
        <f t="shared" si="22"/>
        <v>108</v>
      </c>
      <c r="S298" s="15">
        <v>0</v>
      </c>
      <c r="T298" s="15">
        <v>0</v>
      </c>
      <c r="U298" s="17">
        <f t="shared" si="23"/>
        <v>108</v>
      </c>
      <c r="V298" s="12" t="s">
        <v>46</v>
      </c>
      <c r="W298" s="12">
        <v>124</v>
      </c>
    </row>
    <row r="299" spans="4:23" s="12" customFormat="1" ht="30.75" customHeight="1" thickTop="1" thickBot="1" x14ac:dyDescent="0.35">
      <c r="D299" s="10"/>
      <c r="G299" s="13">
        <f t="shared" si="24"/>
        <v>298</v>
      </c>
      <c r="H299" s="18">
        <v>45749</v>
      </c>
      <c r="I299" s="15" t="s">
        <v>30</v>
      </c>
      <c r="J299" s="15">
        <v>78408</v>
      </c>
      <c r="K299" s="15">
        <v>275</v>
      </c>
      <c r="L299" s="15">
        <v>62671.51</v>
      </c>
      <c r="M299" s="16">
        <f t="shared" si="20"/>
        <v>227.8964</v>
      </c>
      <c r="N299" s="15">
        <v>0</v>
      </c>
      <c r="O299" s="16">
        <f t="shared" si="21"/>
        <v>78408</v>
      </c>
      <c r="P299" s="15" t="s">
        <v>18</v>
      </c>
      <c r="Q299" s="15">
        <v>0.06</v>
      </c>
      <c r="R299" s="16">
        <f t="shared" si="22"/>
        <v>4704.4799999999996</v>
      </c>
      <c r="S299" s="15">
        <v>0</v>
      </c>
      <c r="T299" s="15">
        <v>0</v>
      </c>
      <c r="U299" s="17">
        <f t="shared" si="23"/>
        <v>4704.4799999999996</v>
      </c>
      <c r="V299" s="12" t="s">
        <v>49</v>
      </c>
      <c r="W299" s="12">
        <v>34</v>
      </c>
    </row>
    <row r="300" spans="4:23" s="12" customFormat="1" ht="30.75" customHeight="1" thickTop="1" thickBot="1" x14ac:dyDescent="0.35">
      <c r="D300" s="10"/>
      <c r="G300" s="13">
        <f t="shared" si="24"/>
        <v>299</v>
      </c>
      <c r="H300" s="18">
        <v>45749</v>
      </c>
      <c r="I300" s="15" t="s">
        <v>17</v>
      </c>
      <c r="J300" s="15">
        <v>142560</v>
      </c>
      <c r="K300" s="15">
        <v>500</v>
      </c>
      <c r="L300" s="15">
        <v>113948.21</v>
      </c>
      <c r="M300" s="16">
        <f t="shared" si="20"/>
        <v>227.89642000000001</v>
      </c>
      <c r="N300" s="15">
        <v>0</v>
      </c>
      <c r="O300" s="16">
        <f t="shared" si="21"/>
        <v>142560</v>
      </c>
      <c r="P300" s="15" t="s">
        <v>18</v>
      </c>
      <c r="Q300" s="15">
        <v>0.06</v>
      </c>
      <c r="R300" s="16">
        <f t="shared" si="22"/>
        <v>8553.6</v>
      </c>
      <c r="S300" s="15">
        <v>0</v>
      </c>
      <c r="T300" s="15">
        <v>0</v>
      </c>
      <c r="U300" s="17">
        <f t="shared" si="23"/>
        <v>8553.6</v>
      </c>
      <c r="V300" s="12" t="s">
        <v>49</v>
      </c>
      <c r="W300" s="12">
        <v>34</v>
      </c>
    </row>
    <row r="301" spans="4:23" s="12" customFormat="1" ht="30.75" customHeight="1" thickTop="1" thickBot="1" x14ac:dyDescent="0.35">
      <c r="D301" s="10"/>
      <c r="G301" s="13">
        <f t="shared" si="24"/>
        <v>300</v>
      </c>
      <c r="H301" s="18">
        <v>45749</v>
      </c>
      <c r="I301" s="36" t="s">
        <v>20</v>
      </c>
      <c r="J301" s="15">
        <v>576</v>
      </c>
      <c r="K301" s="15">
        <v>2</v>
      </c>
      <c r="L301" s="15">
        <v>541.44000000000005</v>
      </c>
      <c r="M301" s="16">
        <f t="shared" si="20"/>
        <v>270.72000000000003</v>
      </c>
      <c r="N301" s="15">
        <v>0</v>
      </c>
      <c r="O301" s="16">
        <f t="shared" si="21"/>
        <v>576</v>
      </c>
      <c r="P301" s="15" t="s">
        <v>18</v>
      </c>
      <c r="Q301" s="15">
        <v>0.06</v>
      </c>
      <c r="R301" s="16">
        <f t="shared" si="22"/>
        <v>34.56</v>
      </c>
      <c r="S301" s="15">
        <v>0</v>
      </c>
      <c r="T301" s="15">
        <v>0</v>
      </c>
      <c r="U301" s="17">
        <f t="shared" si="23"/>
        <v>34.56</v>
      </c>
      <c r="V301" s="12" t="s">
        <v>49</v>
      </c>
      <c r="W301" s="12">
        <v>34</v>
      </c>
    </row>
    <row r="302" spans="4:23" s="12" customFormat="1" ht="30.75" customHeight="1" thickTop="1" thickBot="1" x14ac:dyDescent="0.35">
      <c r="D302" s="10"/>
      <c r="G302" s="13">
        <f t="shared" si="24"/>
        <v>301</v>
      </c>
      <c r="H302" s="18">
        <v>45749</v>
      </c>
      <c r="I302" s="15" t="s">
        <v>21</v>
      </c>
      <c r="J302" s="15">
        <v>2232</v>
      </c>
      <c r="K302" s="15">
        <v>10</v>
      </c>
      <c r="L302" s="15">
        <v>2098.08</v>
      </c>
      <c r="M302" s="16">
        <f t="shared" si="20"/>
        <v>209.80799999999999</v>
      </c>
      <c r="N302" s="15">
        <v>0</v>
      </c>
      <c r="O302" s="16">
        <f t="shared" si="21"/>
        <v>2232</v>
      </c>
      <c r="P302" s="15" t="s">
        <v>18</v>
      </c>
      <c r="Q302" s="15">
        <v>0.06</v>
      </c>
      <c r="R302" s="16">
        <f t="shared" si="22"/>
        <v>133.91999999999999</v>
      </c>
      <c r="S302" s="15">
        <v>0</v>
      </c>
      <c r="T302" s="15">
        <v>0</v>
      </c>
      <c r="U302" s="17">
        <f t="shared" si="23"/>
        <v>133.91999999999999</v>
      </c>
      <c r="V302" s="12" t="s">
        <v>49</v>
      </c>
      <c r="W302" s="12">
        <v>34</v>
      </c>
    </row>
    <row r="303" spans="4:23" s="12" customFormat="1" ht="30.75" customHeight="1" thickTop="1" thickBot="1" x14ac:dyDescent="0.35">
      <c r="D303" s="10"/>
      <c r="G303" s="13">
        <f t="shared" si="24"/>
        <v>302</v>
      </c>
      <c r="H303" s="18">
        <v>45749</v>
      </c>
      <c r="I303" s="15" t="s">
        <v>23</v>
      </c>
      <c r="J303" s="15">
        <v>40500</v>
      </c>
      <c r="K303" s="15">
        <v>225</v>
      </c>
      <c r="L303" s="15">
        <v>38070</v>
      </c>
      <c r="M303" s="16">
        <f t="shared" si="20"/>
        <v>169.2</v>
      </c>
      <c r="N303" s="15">
        <v>0</v>
      </c>
      <c r="O303" s="16">
        <f t="shared" si="21"/>
        <v>40500</v>
      </c>
      <c r="P303" s="15" t="s">
        <v>18</v>
      </c>
      <c r="Q303" s="15">
        <v>0.06</v>
      </c>
      <c r="R303" s="16">
        <f t="shared" si="22"/>
        <v>2430</v>
      </c>
      <c r="S303" s="15">
        <v>0</v>
      </c>
      <c r="T303" s="15">
        <v>0</v>
      </c>
      <c r="U303" s="17">
        <f t="shared" si="23"/>
        <v>2430</v>
      </c>
      <c r="V303" s="12" t="s">
        <v>49</v>
      </c>
      <c r="W303" s="12">
        <v>34</v>
      </c>
    </row>
    <row r="304" spans="4:23" s="12" customFormat="1" ht="30.75" customHeight="1" thickTop="1" thickBot="1" x14ac:dyDescent="0.35">
      <c r="D304" s="10"/>
      <c r="G304" s="13">
        <f t="shared" si="24"/>
        <v>303</v>
      </c>
      <c r="H304" s="18">
        <v>45749</v>
      </c>
      <c r="I304" s="15" t="s">
        <v>24</v>
      </c>
      <c r="J304" s="15">
        <v>6100</v>
      </c>
      <c r="K304" s="15">
        <v>20</v>
      </c>
      <c r="L304" s="15">
        <v>5734.75</v>
      </c>
      <c r="M304" s="16">
        <f t="shared" si="20"/>
        <v>286.73750000000001</v>
      </c>
      <c r="N304" s="15">
        <v>0</v>
      </c>
      <c r="O304" s="16">
        <f t="shared" si="21"/>
        <v>6100</v>
      </c>
      <c r="P304" s="15" t="s">
        <v>18</v>
      </c>
      <c r="Q304" s="15">
        <v>0.06</v>
      </c>
      <c r="R304" s="16">
        <f t="shared" si="22"/>
        <v>366</v>
      </c>
      <c r="S304" s="15">
        <v>0</v>
      </c>
      <c r="T304" s="15">
        <v>0</v>
      </c>
      <c r="U304" s="17">
        <f t="shared" si="23"/>
        <v>366</v>
      </c>
      <c r="V304" s="12" t="s">
        <v>49</v>
      </c>
      <c r="W304" s="12">
        <v>34</v>
      </c>
    </row>
    <row r="305" spans="4:23" s="12" customFormat="1" ht="30.75" customHeight="1" thickTop="1" thickBot="1" x14ac:dyDescent="0.35">
      <c r="D305" s="10"/>
      <c r="G305" s="13">
        <f t="shared" si="24"/>
        <v>304</v>
      </c>
      <c r="H305" s="18">
        <v>45749</v>
      </c>
      <c r="I305" s="15" t="s">
        <v>31</v>
      </c>
      <c r="J305" s="15">
        <v>5400</v>
      </c>
      <c r="K305" s="15">
        <v>30</v>
      </c>
      <c r="L305" s="15">
        <v>5076</v>
      </c>
      <c r="M305" s="16">
        <f t="shared" si="20"/>
        <v>169.2</v>
      </c>
      <c r="N305" s="15">
        <v>0</v>
      </c>
      <c r="O305" s="16">
        <f t="shared" si="21"/>
        <v>5400</v>
      </c>
      <c r="P305" s="15" t="s">
        <v>18</v>
      </c>
      <c r="Q305" s="15">
        <v>0.06</v>
      </c>
      <c r="R305" s="16">
        <f t="shared" si="22"/>
        <v>324</v>
      </c>
      <c r="S305" s="15">
        <v>0</v>
      </c>
      <c r="T305" s="15">
        <v>0</v>
      </c>
      <c r="U305" s="17">
        <f t="shared" si="23"/>
        <v>324</v>
      </c>
      <c r="V305" s="12" t="s">
        <v>49</v>
      </c>
      <c r="W305" s="12">
        <v>34</v>
      </c>
    </row>
    <row r="306" spans="4:23" s="12" customFormat="1" ht="30.75" customHeight="1" thickTop="1" thickBot="1" x14ac:dyDescent="0.35">
      <c r="D306" s="10"/>
      <c r="G306" s="13">
        <f t="shared" si="24"/>
        <v>305</v>
      </c>
      <c r="H306" s="18">
        <v>45752</v>
      </c>
      <c r="I306" s="15" t="s">
        <v>25</v>
      </c>
      <c r="J306" s="15">
        <v>60020</v>
      </c>
      <c r="K306" s="15">
        <v>250</v>
      </c>
      <c r="L306" s="15">
        <v>47553.85</v>
      </c>
      <c r="M306" s="16">
        <f t="shared" si="20"/>
        <v>190.21539999999999</v>
      </c>
      <c r="N306" s="15">
        <v>0</v>
      </c>
      <c r="O306" s="16">
        <f t="shared" si="21"/>
        <v>60020</v>
      </c>
      <c r="P306" s="15" t="s">
        <v>26</v>
      </c>
      <c r="Q306" s="15">
        <v>0.02</v>
      </c>
      <c r="R306" s="16">
        <f t="shared" si="22"/>
        <v>1200.4000000000001</v>
      </c>
      <c r="S306" s="15">
        <v>0</v>
      </c>
      <c r="T306" s="15">
        <v>0</v>
      </c>
      <c r="U306" s="17">
        <f t="shared" si="23"/>
        <v>1200.4000000000001</v>
      </c>
      <c r="V306" s="12" t="s">
        <v>49</v>
      </c>
      <c r="W306" s="12">
        <v>129</v>
      </c>
    </row>
    <row r="307" spans="4:23" s="12" customFormat="1" ht="30.75" customHeight="1" thickTop="1" thickBot="1" x14ac:dyDescent="0.35">
      <c r="D307" s="10"/>
      <c r="G307" s="13">
        <f t="shared" si="24"/>
        <v>306</v>
      </c>
      <c r="H307" s="18">
        <v>45752</v>
      </c>
      <c r="I307" s="15" t="s">
        <v>41</v>
      </c>
      <c r="J307" s="15">
        <v>6725.4</v>
      </c>
      <c r="K307" s="15">
        <v>50</v>
      </c>
      <c r="L307" s="15">
        <v>5518.19</v>
      </c>
      <c r="M307" s="16">
        <f t="shared" si="20"/>
        <v>110.3638</v>
      </c>
      <c r="N307" s="15">
        <v>0</v>
      </c>
      <c r="O307" s="16">
        <f t="shared" si="21"/>
        <v>6725.4</v>
      </c>
      <c r="P307" s="15" t="s">
        <v>26</v>
      </c>
      <c r="Q307" s="15">
        <v>0.02</v>
      </c>
      <c r="R307" s="16">
        <f t="shared" si="22"/>
        <v>134.50799999999998</v>
      </c>
      <c r="S307" s="15">
        <v>0</v>
      </c>
      <c r="T307" s="15">
        <v>0</v>
      </c>
      <c r="U307" s="17">
        <f t="shared" si="23"/>
        <v>134.50799999999998</v>
      </c>
      <c r="V307" s="12" t="s">
        <v>49</v>
      </c>
      <c r="W307" s="12">
        <v>35</v>
      </c>
    </row>
    <row r="308" spans="4:23" s="12" customFormat="1" ht="30.75" customHeight="1" thickTop="1" thickBot="1" x14ac:dyDescent="0.35">
      <c r="D308" s="10"/>
      <c r="G308" s="13">
        <f t="shared" si="24"/>
        <v>307</v>
      </c>
      <c r="H308" s="18">
        <v>45752</v>
      </c>
      <c r="I308" s="15" t="s">
        <v>30</v>
      </c>
      <c r="J308" s="15">
        <v>57024</v>
      </c>
      <c r="K308" s="15">
        <v>200</v>
      </c>
      <c r="L308" s="15">
        <v>45579.28</v>
      </c>
      <c r="M308" s="16">
        <f t="shared" si="20"/>
        <v>227.8964</v>
      </c>
      <c r="N308" s="15">
        <v>0</v>
      </c>
      <c r="O308" s="16">
        <f t="shared" si="21"/>
        <v>57024</v>
      </c>
      <c r="P308" s="15" t="s">
        <v>18</v>
      </c>
      <c r="Q308" s="15">
        <v>0.06</v>
      </c>
      <c r="R308" s="16">
        <f t="shared" si="22"/>
        <v>3421.44</v>
      </c>
      <c r="S308" s="15">
        <v>0</v>
      </c>
      <c r="T308" s="15">
        <v>0</v>
      </c>
      <c r="U308" s="17">
        <f t="shared" si="23"/>
        <v>3421.44</v>
      </c>
      <c r="V308" s="12" t="s">
        <v>49</v>
      </c>
      <c r="W308" s="12">
        <v>35</v>
      </c>
    </row>
    <row r="309" spans="4:23" s="12" customFormat="1" ht="30.75" customHeight="1" thickTop="1" thickBot="1" x14ac:dyDescent="0.35">
      <c r="D309" s="10"/>
      <c r="G309" s="13">
        <f t="shared" si="24"/>
        <v>308</v>
      </c>
      <c r="H309" s="18">
        <v>45752</v>
      </c>
      <c r="I309" s="15" t="s">
        <v>17</v>
      </c>
      <c r="J309" s="15">
        <v>71280</v>
      </c>
      <c r="K309" s="15">
        <v>250</v>
      </c>
      <c r="L309" s="15">
        <v>56974.1</v>
      </c>
      <c r="M309" s="16">
        <f t="shared" si="20"/>
        <v>227.8964</v>
      </c>
      <c r="N309" s="15">
        <v>0</v>
      </c>
      <c r="O309" s="16">
        <f t="shared" si="21"/>
        <v>71280</v>
      </c>
      <c r="P309" s="15" t="s">
        <v>18</v>
      </c>
      <c r="Q309" s="15">
        <v>0.06</v>
      </c>
      <c r="R309" s="16">
        <f t="shared" si="22"/>
        <v>4276.8</v>
      </c>
      <c r="S309" s="15">
        <v>0</v>
      </c>
      <c r="T309" s="15">
        <v>0</v>
      </c>
      <c r="U309" s="17">
        <f t="shared" si="23"/>
        <v>4276.8</v>
      </c>
      <c r="V309" s="12" t="s">
        <v>49</v>
      </c>
      <c r="W309" s="12">
        <v>35</v>
      </c>
    </row>
    <row r="310" spans="4:23" s="12" customFormat="1" ht="30.75" customHeight="1" thickTop="1" thickBot="1" x14ac:dyDescent="0.35">
      <c r="D310" s="10"/>
      <c r="G310" s="13">
        <f t="shared" si="24"/>
        <v>309</v>
      </c>
      <c r="H310" s="18">
        <v>45752</v>
      </c>
      <c r="I310" s="36" t="s">
        <v>20</v>
      </c>
      <c r="J310" s="15">
        <v>1440</v>
      </c>
      <c r="K310" s="15">
        <v>5</v>
      </c>
      <c r="L310" s="15">
        <v>1353</v>
      </c>
      <c r="M310" s="16">
        <f t="shared" si="20"/>
        <v>270.60000000000002</v>
      </c>
      <c r="N310" s="15">
        <v>0</v>
      </c>
      <c r="O310" s="16">
        <f t="shared" si="21"/>
        <v>1440</v>
      </c>
      <c r="P310" s="15" t="s">
        <v>18</v>
      </c>
      <c r="Q310" s="15">
        <v>0.06</v>
      </c>
      <c r="R310" s="16">
        <f t="shared" si="22"/>
        <v>86.399999999999991</v>
      </c>
      <c r="S310" s="15">
        <v>0</v>
      </c>
      <c r="T310" s="15">
        <v>0</v>
      </c>
      <c r="U310" s="17">
        <f t="shared" si="23"/>
        <v>86.399999999999991</v>
      </c>
      <c r="V310" s="12" t="s">
        <v>49</v>
      </c>
      <c r="W310" s="12">
        <v>35</v>
      </c>
    </row>
    <row r="311" spans="4:23" s="12" customFormat="1" ht="30.75" customHeight="1" thickTop="1" thickBot="1" x14ac:dyDescent="0.35">
      <c r="D311" s="10"/>
      <c r="G311" s="13">
        <f t="shared" si="24"/>
        <v>310</v>
      </c>
      <c r="H311" s="18">
        <v>45752</v>
      </c>
      <c r="I311" s="15" t="s">
        <v>23</v>
      </c>
      <c r="J311" s="15">
        <v>43020</v>
      </c>
      <c r="K311" s="15">
        <v>239</v>
      </c>
      <c r="L311" s="15">
        <v>40438.800000000003</v>
      </c>
      <c r="M311" s="16">
        <f t="shared" si="20"/>
        <v>169.20000000000002</v>
      </c>
      <c r="N311" s="15">
        <v>0</v>
      </c>
      <c r="O311" s="16">
        <f t="shared" si="21"/>
        <v>43020</v>
      </c>
      <c r="P311" s="15" t="s">
        <v>18</v>
      </c>
      <c r="Q311" s="15">
        <v>0.06</v>
      </c>
      <c r="R311" s="16">
        <f t="shared" si="22"/>
        <v>2581.1999999999998</v>
      </c>
      <c r="S311" s="15">
        <v>0</v>
      </c>
      <c r="T311" s="15">
        <v>0</v>
      </c>
      <c r="U311" s="17">
        <f t="shared" si="23"/>
        <v>2581.1999999999998</v>
      </c>
      <c r="V311" s="12" t="s">
        <v>49</v>
      </c>
      <c r="W311" s="12">
        <v>35</v>
      </c>
    </row>
    <row r="312" spans="4:23" s="12" customFormat="1" ht="30.75" customHeight="1" thickTop="1" thickBot="1" x14ac:dyDescent="0.35">
      <c r="D312" s="10"/>
      <c r="G312" s="13">
        <f t="shared" si="24"/>
        <v>311</v>
      </c>
      <c r="H312" s="18">
        <v>45752</v>
      </c>
      <c r="I312" s="15" t="s">
        <v>24</v>
      </c>
      <c r="J312" s="15">
        <v>3050.4</v>
      </c>
      <c r="K312" s="15">
        <v>10</v>
      </c>
      <c r="L312" s="15">
        <v>2867.38</v>
      </c>
      <c r="M312" s="16">
        <f t="shared" si="20"/>
        <v>286.738</v>
      </c>
      <c r="N312" s="15">
        <v>0</v>
      </c>
      <c r="O312" s="16">
        <f t="shared" si="21"/>
        <v>3050.4</v>
      </c>
      <c r="P312" s="15" t="s">
        <v>18</v>
      </c>
      <c r="Q312" s="15">
        <v>0.06</v>
      </c>
      <c r="R312" s="16">
        <f t="shared" si="22"/>
        <v>183.024</v>
      </c>
      <c r="S312" s="15">
        <v>0</v>
      </c>
      <c r="T312" s="15">
        <v>0</v>
      </c>
      <c r="U312" s="17">
        <f t="shared" si="23"/>
        <v>183.024</v>
      </c>
      <c r="V312" s="12" t="s">
        <v>49</v>
      </c>
      <c r="W312" s="12">
        <v>35</v>
      </c>
    </row>
    <row r="313" spans="4:23" s="12" customFormat="1" ht="30.75" customHeight="1" thickTop="1" thickBot="1" x14ac:dyDescent="0.35">
      <c r="D313" s="10"/>
      <c r="G313" s="13">
        <f t="shared" si="24"/>
        <v>312</v>
      </c>
      <c r="H313" s="18">
        <v>45752</v>
      </c>
      <c r="I313" s="15" t="s">
        <v>31</v>
      </c>
      <c r="J313" s="15">
        <v>5400</v>
      </c>
      <c r="K313" s="15">
        <v>30</v>
      </c>
      <c r="L313" s="15">
        <v>5076</v>
      </c>
      <c r="M313" s="16">
        <f t="shared" si="20"/>
        <v>169.2</v>
      </c>
      <c r="N313" s="15">
        <v>0</v>
      </c>
      <c r="O313" s="16">
        <f t="shared" si="21"/>
        <v>5400</v>
      </c>
      <c r="P313" s="15" t="s">
        <v>18</v>
      </c>
      <c r="Q313" s="15">
        <v>0.06</v>
      </c>
      <c r="R313" s="16">
        <f t="shared" si="22"/>
        <v>324</v>
      </c>
      <c r="S313" s="15">
        <v>0</v>
      </c>
      <c r="T313" s="15">
        <v>0</v>
      </c>
      <c r="U313" s="17">
        <f t="shared" si="23"/>
        <v>324</v>
      </c>
      <c r="V313" s="12" t="s">
        <v>49</v>
      </c>
      <c r="W313" s="12">
        <v>35</v>
      </c>
    </row>
    <row r="314" spans="4:23" s="12" customFormat="1" ht="30.75" customHeight="1" thickTop="1" thickBot="1" x14ac:dyDescent="0.35">
      <c r="D314" s="10"/>
      <c r="G314" s="13">
        <f t="shared" si="24"/>
        <v>313</v>
      </c>
      <c r="H314" s="18">
        <v>45754</v>
      </c>
      <c r="I314" s="15" t="s">
        <v>30</v>
      </c>
      <c r="J314" s="15">
        <v>78408</v>
      </c>
      <c r="K314" s="15">
        <v>275</v>
      </c>
      <c r="L314" s="15">
        <v>62671.51</v>
      </c>
      <c r="M314" s="16">
        <f t="shared" si="20"/>
        <v>227.8964</v>
      </c>
      <c r="N314" s="15">
        <v>0</v>
      </c>
      <c r="O314" s="16">
        <f t="shared" si="21"/>
        <v>78408</v>
      </c>
      <c r="P314" s="15" t="s">
        <v>18</v>
      </c>
      <c r="Q314" s="15">
        <v>0.06</v>
      </c>
      <c r="R314" s="16">
        <f t="shared" si="22"/>
        <v>4704.4799999999996</v>
      </c>
      <c r="S314" s="15">
        <v>0</v>
      </c>
      <c r="T314" s="15">
        <v>0</v>
      </c>
      <c r="U314" s="17">
        <f t="shared" si="23"/>
        <v>4704.4799999999996</v>
      </c>
      <c r="V314" s="12" t="s">
        <v>49</v>
      </c>
      <c r="W314" s="12">
        <v>36</v>
      </c>
    </row>
    <row r="315" spans="4:23" s="12" customFormat="1" ht="30.75" customHeight="1" thickTop="1" thickBot="1" x14ac:dyDescent="0.35">
      <c r="D315" s="10"/>
      <c r="G315" s="13">
        <f t="shared" si="24"/>
        <v>314</v>
      </c>
      <c r="H315" s="18">
        <v>45754</v>
      </c>
      <c r="I315" s="15" t="s">
        <v>17</v>
      </c>
      <c r="J315" s="15">
        <v>99792</v>
      </c>
      <c r="K315" s="15">
        <v>350</v>
      </c>
      <c r="L315" s="15">
        <v>79763.75</v>
      </c>
      <c r="M315" s="16">
        <f t="shared" si="20"/>
        <v>227.89642857142857</v>
      </c>
      <c r="N315" s="15">
        <v>0</v>
      </c>
      <c r="O315" s="16">
        <f t="shared" si="21"/>
        <v>99792</v>
      </c>
      <c r="P315" s="15" t="s">
        <v>18</v>
      </c>
      <c r="Q315" s="15">
        <v>0.06</v>
      </c>
      <c r="R315" s="16">
        <f t="shared" si="22"/>
        <v>5987.5199999999995</v>
      </c>
      <c r="S315" s="15">
        <v>0</v>
      </c>
      <c r="T315" s="15">
        <v>0</v>
      </c>
      <c r="U315" s="17">
        <f t="shared" si="23"/>
        <v>5987.5199999999995</v>
      </c>
      <c r="V315" s="12" t="s">
        <v>49</v>
      </c>
      <c r="W315" s="12">
        <v>36</v>
      </c>
    </row>
    <row r="316" spans="4:23" s="12" customFormat="1" ht="30.75" customHeight="1" thickTop="1" thickBot="1" x14ac:dyDescent="0.35">
      <c r="D316" s="10"/>
      <c r="G316" s="13">
        <f t="shared" si="24"/>
        <v>315</v>
      </c>
      <c r="H316" s="18">
        <v>45754</v>
      </c>
      <c r="I316" s="15" t="s">
        <v>35</v>
      </c>
      <c r="J316" s="15">
        <v>6482.4</v>
      </c>
      <c r="K316" s="15">
        <v>37</v>
      </c>
      <c r="L316" s="15">
        <v>6093.46</v>
      </c>
      <c r="M316" s="16">
        <f t="shared" si="20"/>
        <v>164.68810810810811</v>
      </c>
      <c r="N316" s="15">
        <v>0</v>
      </c>
      <c r="O316" s="16">
        <f t="shared" si="21"/>
        <v>6482.4</v>
      </c>
      <c r="P316" s="15" t="s">
        <v>18</v>
      </c>
      <c r="Q316" s="15">
        <v>0.06</v>
      </c>
      <c r="R316" s="16">
        <f t="shared" si="22"/>
        <v>388.94399999999996</v>
      </c>
      <c r="S316" s="15">
        <v>0</v>
      </c>
      <c r="T316" s="15">
        <v>0</v>
      </c>
      <c r="U316" s="17">
        <f t="shared" si="23"/>
        <v>388.94399999999996</v>
      </c>
      <c r="V316" s="12" t="s">
        <v>49</v>
      </c>
      <c r="W316" s="12">
        <v>36</v>
      </c>
    </row>
    <row r="317" spans="4:23" s="12" customFormat="1" ht="30.75" customHeight="1" thickTop="1" thickBot="1" x14ac:dyDescent="0.35">
      <c r="D317" s="10"/>
      <c r="G317" s="13">
        <f t="shared" si="24"/>
        <v>316</v>
      </c>
      <c r="H317" s="18">
        <v>45754</v>
      </c>
      <c r="I317" s="36" t="s">
        <v>20</v>
      </c>
      <c r="J317" s="15">
        <v>864</v>
      </c>
      <c r="K317" s="15">
        <v>3</v>
      </c>
      <c r="L317" s="15">
        <v>812.16</v>
      </c>
      <c r="M317" s="16">
        <f t="shared" si="20"/>
        <v>270.71999999999997</v>
      </c>
      <c r="N317" s="15">
        <v>0</v>
      </c>
      <c r="O317" s="16">
        <f t="shared" si="21"/>
        <v>864</v>
      </c>
      <c r="P317" s="15" t="s">
        <v>18</v>
      </c>
      <c r="Q317" s="15">
        <v>0.06</v>
      </c>
      <c r="R317" s="16">
        <f t="shared" si="22"/>
        <v>51.839999999999996</v>
      </c>
      <c r="S317" s="15">
        <v>0</v>
      </c>
      <c r="T317" s="15">
        <v>0</v>
      </c>
      <c r="U317" s="17">
        <f t="shared" si="23"/>
        <v>51.839999999999996</v>
      </c>
      <c r="V317" s="12" t="s">
        <v>49</v>
      </c>
      <c r="W317" s="12">
        <v>36</v>
      </c>
    </row>
    <row r="318" spans="4:23" s="12" customFormat="1" ht="30.75" customHeight="1" thickTop="1" thickBot="1" x14ac:dyDescent="0.35">
      <c r="D318" s="10"/>
      <c r="G318" s="13">
        <f t="shared" si="24"/>
        <v>317</v>
      </c>
      <c r="H318" s="18">
        <v>45754</v>
      </c>
      <c r="I318" s="15" t="s">
        <v>21</v>
      </c>
      <c r="J318" s="15">
        <v>4464</v>
      </c>
      <c r="K318" s="15">
        <v>20</v>
      </c>
      <c r="L318" s="15">
        <v>4196.16</v>
      </c>
      <c r="M318" s="16">
        <f t="shared" si="20"/>
        <v>209.80799999999999</v>
      </c>
      <c r="N318" s="15">
        <v>0</v>
      </c>
      <c r="O318" s="16">
        <f t="shared" si="21"/>
        <v>4464</v>
      </c>
      <c r="P318" s="15" t="s">
        <v>18</v>
      </c>
      <c r="Q318" s="15">
        <v>0.06</v>
      </c>
      <c r="R318" s="16">
        <f t="shared" si="22"/>
        <v>267.83999999999997</v>
      </c>
      <c r="S318" s="15">
        <v>0</v>
      </c>
      <c r="T318" s="15">
        <v>0</v>
      </c>
      <c r="U318" s="17">
        <f t="shared" si="23"/>
        <v>267.83999999999997</v>
      </c>
      <c r="V318" s="12" t="s">
        <v>49</v>
      </c>
      <c r="W318" s="12">
        <v>36</v>
      </c>
    </row>
    <row r="319" spans="4:23" s="12" customFormat="1" ht="30.75" customHeight="1" thickTop="1" thickBot="1" x14ac:dyDescent="0.35">
      <c r="D319" s="10"/>
      <c r="G319" s="13">
        <f t="shared" si="24"/>
        <v>318</v>
      </c>
      <c r="H319" s="18">
        <v>45754</v>
      </c>
      <c r="I319" s="15" t="s">
        <v>22</v>
      </c>
      <c r="J319" s="15">
        <v>2692.5</v>
      </c>
      <c r="K319" s="15">
        <v>10</v>
      </c>
      <c r="L319" s="15">
        <v>2530.9499999999998</v>
      </c>
      <c r="M319" s="16">
        <f t="shared" si="20"/>
        <v>253.09499999999997</v>
      </c>
      <c r="N319" s="15">
        <v>0</v>
      </c>
      <c r="O319" s="16">
        <f t="shared" si="21"/>
        <v>2692.5</v>
      </c>
      <c r="P319" s="15" t="s">
        <v>18</v>
      </c>
      <c r="Q319" s="15">
        <v>0.06</v>
      </c>
      <c r="R319" s="16">
        <f t="shared" si="22"/>
        <v>161.54999999999998</v>
      </c>
      <c r="S319" s="15">
        <v>0</v>
      </c>
      <c r="T319" s="15">
        <v>0</v>
      </c>
      <c r="U319" s="17">
        <f t="shared" si="23"/>
        <v>161.54999999999998</v>
      </c>
      <c r="V319" s="12" t="s">
        <v>49</v>
      </c>
      <c r="W319" s="12">
        <v>36</v>
      </c>
    </row>
    <row r="320" spans="4:23" s="12" customFormat="1" ht="30.75" customHeight="1" thickTop="1" thickBot="1" x14ac:dyDescent="0.35">
      <c r="D320" s="10"/>
      <c r="G320" s="13">
        <f t="shared" si="24"/>
        <v>319</v>
      </c>
      <c r="H320" s="18">
        <v>45754</v>
      </c>
      <c r="I320" s="15" t="s">
        <v>23</v>
      </c>
      <c r="J320" s="15">
        <v>58500</v>
      </c>
      <c r="K320" s="15">
        <v>375</v>
      </c>
      <c r="L320" s="15">
        <v>54990</v>
      </c>
      <c r="M320" s="16">
        <f t="shared" si="20"/>
        <v>146.63999999999999</v>
      </c>
      <c r="N320" s="15">
        <v>0</v>
      </c>
      <c r="O320" s="16">
        <f t="shared" si="21"/>
        <v>58500</v>
      </c>
      <c r="P320" s="15" t="s">
        <v>18</v>
      </c>
      <c r="Q320" s="15">
        <v>0.06</v>
      </c>
      <c r="R320" s="16">
        <f t="shared" si="22"/>
        <v>3510</v>
      </c>
      <c r="S320" s="15">
        <v>0</v>
      </c>
      <c r="T320" s="15">
        <v>0</v>
      </c>
      <c r="U320" s="17">
        <f t="shared" si="23"/>
        <v>3510</v>
      </c>
      <c r="V320" s="12" t="s">
        <v>49</v>
      </c>
      <c r="W320" s="12">
        <v>36</v>
      </c>
    </row>
    <row r="321" spans="4:23" s="12" customFormat="1" ht="30.75" customHeight="1" thickTop="1" thickBot="1" x14ac:dyDescent="0.35">
      <c r="D321" s="10"/>
      <c r="G321" s="13">
        <f t="shared" si="24"/>
        <v>320</v>
      </c>
      <c r="H321" s="18">
        <v>45754</v>
      </c>
      <c r="I321" s="15" t="s">
        <v>24</v>
      </c>
      <c r="J321" s="15">
        <v>7626</v>
      </c>
      <c r="K321" s="15">
        <v>25</v>
      </c>
      <c r="L321" s="15">
        <v>7168.44</v>
      </c>
      <c r="M321" s="16">
        <f t="shared" si="20"/>
        <v>286.73759999999999</v>
      </c>
      <c r="N321" s="15">
        <v>0</v>
      </c>
      <c r="O321" s="16">
        <f t="shared" si="21"/>
        <v>7626</v>
      </c>
      <c r="P321" s="15" t="s">
        <v>18</v>
      </c>
      <c r="Q321" s="15">
        <v>0.06</v>
      </c>
      <c r="R321" s="16">
        <f t="shared" si="22"/>
        <v>457.56</v>
      </c>
      <c r="S321" s="15">
        <v>0</v>
      </c>
      <c r="T321" s="15">
        <v>0</v>
      </c>
      <c r="U321" s="17">
        <f t="shared" si="23"/>
        <v>457.56</v>
      </c>
      <c r="V321" s="12" t="s">
        <v>49</v>
      </c>
      <c r="W321" s="12">
        <v>36</v>
      </c>
    </row>
    <row r="322" spans="4:23" s="12" customFormat="1" ht="30.75" customHeight="1" thickTop="1" thickBot="1" x14ac:dyDescent="0.35">
      <c r="D322" s="10"/>
      <c r="G322" s="13">
        <f t="shared" si="24"/>
        <v>321</v>
      </c>
      <c r="H322" s="18">
        <v>45754</v>
      </c>
      <c r="I322" s="15" t="s">
        <v>31</v>
      </c>
      <c r="J322" s="15">
        <v>5400</v>
      </c>
      <c r="K322" s="15">
        <v>30</v>
      </c>
      <c r="L322" s="15">
        <v>5076</v>
      </c>
      <c r="M322" s="16">
        <f t="shared" ref="M322:M385" si="25">IFERROR(L322/K322,"")</f>
        <v>169.2</v>
      </c>
      <c r="N322" s="15">
        <v>0</v>
      </c>
      <c r="O322" s="16">
        <f t="shared" ref="O322:O385" si="26">J322-N322</f>
        <v>5400</v>
      </c>
      <c r="P322" s="15" t="s">
        <v>18</v>
      </c>
      <c r="Q322" s="15">
        <v>0.06</v>
      </c>
      <c r="R322" s="16">
        <f t="shared" ref="R322:R385" si="27">J322*Q322</f>
        <v>324</v>
      </c>
      <c r="S322" s="15">
        <v>0</v>
      </c>
      <c r="T322" s="15">
        <v>0</v>
      </c>
      <c r="U322" s="17">
        <f t="shared" ref="U322:U385" si="28">T322+S322+R322</f>
        <v>324</v>
      </c>
      <c r="V322" s="12" t="s">
        <v>49</v>
      </c>
      <c r="W322" s="12">
        <v>36</v>
      </c>
    </row>
    <row r="323" spans="4:23" s="12" customFormat="1" ht="30.75" customHeight="1" thickTop="1" thickBot="1" x14ac:dyDescent="0.35">
      <c r="D323" s="10"/>
      <c r="G323" s="13">
        <f t="shared" si="24"/>
        <v>322</v>
      </c>
      <c r="H323" s="18">
        <v>45756</v>
      </c>
      <c r="I323" s="15" t="s">
        <v>30</v>
      </c>
      <c r="J323" s="15">
        <v>39916.800000000003</v>
      </c>
      <c r="K323" s="15">
        <v>140</v>
      </c>
      <c r="L323" s="15">
        <v>29111.32</v>
      </c>
      <c r="M323" s="16">
        <f t="shared" si="25"/>
        <v>207.93799999999999</v>
      </c>
      <c r="N323" s="15">
        <v>0</v>
      </c>
      <c r="O323" s="16">
        <f t="shared" si="26"/>
        <v>39916.800000000003</v>
      </c>
      <c r="P323" s="15" t="s">
        <v>18</v>
      </c>
      <c r="Q323" s="15">
        <v>0.06</v>
      </c>
      <c r="R323" s="16">
        <f t="shared" si="27"/>
        <v>2395.0080000000003</v>
      </c>
      <c r="S323" s="15">
        <v>0</v>
      </c>
      <c r="T323" s="15">
        <v>0</v>
      </c>
      <c r="U323" s="17">
        <f t="shared" si="28"/>
        <v>2395.0080000000003</v>
      </c>
      <c r="V323" s="12" t="s">
        <v>49</v>
      </c>
      <c r="W323" s="12">
        <v>37</v>
      </c>
    </row>
    <row r="324" spans="4:23" s="12" customFormat="1" ht="30.75" customHeight="1" thickTop="1" thickBot="1" x14ac:dyDescent="0.35">
      <c r="D324" s="10"/>
      <c r="G324" s="13">
        <f t="shared" ref="G324:G387" si="29">G323+1</f>
        <v>323</v>
      </c>
      <c r="H324" s="18">
        <v>45756</v>
      </c>
      <c r="I324" s="15" t="s">
        <v>17</v>
      </c>
      <c r="J324" s="15">
        <v>67003.199999999997</v>
      </c>
      <c r="K324" s="15">
        <v>235</v>
      </c>
      <c r="L324" s="15">
        <v>48865.43</v>
      </c>
      <c r="M324" s="16">
        <f t="shared" si="25"/>
        <v>207.93799999999999</v>
      </c>
      <c r="N324" s="15">
        <v>0</v>
      </c>
      <c r="O324" s="16">
        <f t="shared" si="26"/>
        <v>67003.199999999997</v>
      </c>
      <c r="P324" s="15" t="s">
        <v>18</v>
      </c>
      <c r="Q324" s="15">
        <v>0.06</v>
      </c>
      <c r="R324" s="16">
        <f t="shared" si="27"/>
        <v>4020.1919999999996</v>
      </c>
      <c r="S324" s="15">
        <v>0</v>
      </c>
      <c r="T324" s="15">
        <v>0</v>
      </c>
      <c r="U324" s="17">
        <f t="shared" si="28"/>
        <v>4020.1919999999996</v>
      </c>
      <c r="V324" s="12" t="s">
        <v>49</v>
      </c>
      <c r="W324" s="12">
        <v>37</v>
      </c>
    </row>
    <row r="325" spans="4:23" s="12" customFormat="1" ht="30.75" customHeight="1" thickTop="1" thickBot="1" x14ac:dyDescent="0.35">
      <c r="D325" s="10"/>
      <c r="G325" s="13">
        <f t="shared" si="29"/>
        <v>324</v>
      </c>
      <c r="H325" s="18">
        <v>45756</v>
      </c>
      <c r="I325" s="15" t="s">
        <v>35</v>
      </c>
      <c r="J325" s="15">
        <v>8760</v>
      </c>
      <c r="K325" s="15">
        <v>50</v>
      </c>
      <c r="L325" s="15">
        <v>8234.4</v>
      </c>
      <c r="M325" s="16">
        <f t="shared" si="25"/>
        <v>164.68799999999999</v>
      </c>
      <c r="N325" s="15">
        <v>0</v>
      </c>
      <c r="O325" s="16">
        <f t="shared" si="26"/>
        <v>8760</v>
      </c>
      <c r="P325" s="15" t="s">
        <v>18</v>
      </c>
      <c r="Q325" s="15">
        <v>0.06</v>
      </c>
      <c r="R325" s="16">
        <f t="shared" si="27"/>
        <v>525.6</v>
      </c>
      <c r="S325" s="15">
        <v>0</v>
      </c>
      <c r="T325" s="15">
        <v>0</v>
      </c>
      <c r="U325" s="17">
        <f t="shared" si="28"/>
        <v>525.6</v>
      </c>
      <c r="V325" s="12" t="s">
        <v>49</v>
      </c>
      <c r="W325" s="12">
        <v>37</v>
      </c>
    </row>
    <row r="326" spans="4:23" s="12" customFormat="1" ht="30.75" customHeight="1" thickTop="1" thickBot="1" x14ac:dyDescent="0.35">
      <c r="D326" s="10"/>
      <c r="G326" s="13">
        <f t="shared" si="29"/>
        <v>325</v>
      </c>
      <c r="H326" s="18">
        <v>45756</v>
      </c>
      <c r="I326" s="15" t="s">
        <v>21</v>
      </c>
      <c r="J326" s="15">
        <v>5580</v>
      </c>
      <c r="K326" s="15">
        <v>25</v>
      </c>
      <c r="L326" s="15">
        <v>5245.2</v>
      </c>
      <c r="M326" s="16">
        <f t="shared" si="25"/>
        <v>209.80799999999999</v>
      </c>
      <c r="N326" s="15">
        <v>0</v>
      </c>
      <c r="O326" s="16">
        <f t="shared" si="26"/>
        <v>5580</v>
      </c>
      <c r="P326" s="15" t="s">
        <v>18</v>
      </c>
      <c r="Q326" s="15">
        <v>0.06</v>
      </c>
      <c r="R326" s="16">
        <f t="shared" si="27"/>
        <v>334.8</v>
      </c>
      <c r="S326" s="15">
        <v>0</v>
      </c>
      <c r="T326" s="15">
        <v>0</v>
      </c>
      <c r="U326" s="17">
        <f t="shared" si="28"/>
        <v>334.8</v>
      </c>
      <c r="V326" s="12" t="s">
        <v>49</v>
      </c>
      <c r="W326" s="12">
        <v>37</v>
      </c>
    </row>
    <row r="327" spans="4:23" s="12" customFormat="1" ht="30.75" customHeight="1" thickTop="1" thickBot="1" x14ac:dyDescent="0.35">
      <c r="D327" s="10"/>
      <c r="G327" s="13">
        <f t="shared" si="29"/>
        <v>326</v>
      </c>
      <c r="H327" s="18">
        <v>45756</v>
      </c>
      <c r="I327" s="15" t="s">
        <v>22</v>
      </c>
      <c r="J327" s="15">
        <v>1615.5</v>
      </c>
      <c r="K327" s="15">
        <v>6</v>
      </c>
      <c r="L327" s="15">
        <v>1518.57</v>
      </c>
      <c r="M327" s="16">
        <f t="shared" si="25"/>
        <v>253.095</v>
      </c>
      <c r="N327" s="15">
        <v>0</v>
      </c>
      <c r="O327" s="16">
        <f t="shared" si="26"/>
        <v>1615.5</v>
      </c>
      <c r="P327" s="15" t="s">
        <v>18</v>
      </c>
      <c r="Q327" s="15">
        <v>0.06</v>
      </c>
      <c r="R327" s="16">
        <f t="shared" si="27"/>
        <v>96.929999999999993</v>
      </c>
      <c r="S327" s="15">
        <v>0</v>
      </c>
      <c r="T327" s="15">
        <v>0</v>
      </c>
      <c r="U327" s="17">
        <f t="shared" si="28"/>
        <v>96.929999999999993</v>
      </c>
      <c r="V327" s="12" t="s">
        <v>49</v>
      </c>
      <c r="W327" s="12">
        <v>37</v>
      </c>
    </row>
    <row r="328" spans="4:23" s="12" customFormat="1" ht="30.75" customHeight="1" thickTop="1" thickBot="1" x14ac:dyDescent="0.35">
      <c r="D328" s="10"/>
      <c r="G328" s="13">
        <f t="shared" si="29"/>
        <v>327</v>
      </c>
      <c r="H328" s="18">
        <v>45756</v>
      </c>
      <c r="I328" s="15" t="s">
        <v>23</v>
      </c>
      <c r="J328" s="15">
        <v>27900</v>
      </c>
      <c r="K328" s="15">
        <v>155</v>
      </c>
      <c r="L328" s="15">
        <v>26226</v>
      </c>
      <c r="M328" s="16">
        <f t="shared" si="25"/>
        <v>169.2</v>
      </c>
      <c r="N328" s="15">
        <v>0</v>
      </c>
      <c r="O328" s="16">
        <f t="shared" si="26"/>
        <v>27900</v>
      </c>
      <c r="P328" s="15" t="s">
        <v>18</v>
      </c>
      <c r="Q328" s="15">
        <v>0.06</v>
      </c>
      <c r="R328" s="16">
        <f t="shared" si="27"/>
        <v>1674</v>
      </c>
      <c r="S328" s="15">
        <v>0</v>
      </c>
      <c r="T328" s="15">
        <v>0</v>
      </c>
      <c r="U328" s="17">
        <f t="shared" si="28"/>
        <v>1674</v>
      </c>
      <c r="V328" s="12" t="s">
        <v>49</v>
      </c>
      <c r="W328" s="12">
        <v>37</v>
      </c>
    </row>
    <row r="329" spans="4:23" s="12" customFormat="1" ht="30.75" customHeight="1" thickTop="1" thickBot="1" x14ac:dyDescent="0.35">
      <c r="D329" s="10"/>
      <c r="G329" s="13">
        <f t="shared" si="29"/>
        <v>328</v>
      </c>
      <c r="H329" s="18">
        <v>45756</v>
      </c>
      <c r="I329" s="15" t="s">
        <v>24</v>
      </c>
      <c r="J329" s="15">
        <v>7626</v>
      </c>
      <c r="K329" s="15">
        <v>25</v>
      </c>
      <c r="L329" s="15">
        <v>7168.44</v>
      </c>
      <c r="M329" s="16">
        <f t="shared" si="25"/>
        <v>286.73759999999999</v>
      </c>
      <c r="N329" s="15">
        <v>0</v>
      </c>
      <c r="O329" s="16">
        <f t="shared" si="26"/>
        <v>7626</v>
      </c>
      <c r="P329" s="15" t="s">
        <v>18</v>
      </c>
      <c r="Q329" s="15">
        <v>0.06</v>
      </c>
      <c r="R329" s="16">
        <f t="shared" si="27"/>
        <v>457.56</v>
      </c>
      <c r="S329" s="15">
        <v>0</v>
      </c>
      <c r="T329" s="15">
        <v>0</v>
      </c>
      <c r="U329" s="17">
        <f t="shared" si="28"/>
        <v>457.56</v>
      </c>
      <c r="V329" s="12" t="s">
        <v>49</v>
      </c>
      <c r="W329" s="12">
        <v>37</v>
      </c>
    </row>
    <row r="330" spans="4:23" s="12" customFormat="1" ht="30.75" customHeight="1" thickTop="1" thickBot="1" x14ac:dyDescent="0.35">
      <c r="D330" s="10"/>
      <c r="G330" s="13">
        <f t="shared" si="29"/>
        <v>329</v>
      </c>
      <c r="H330" s="18">
        <v>45756</v>
      </c>
      <c r="I330" s="15" t="s">
        <v>31</v>
      </c>
      <c r="J330" s="15">
        <v>5400</v>
      </c>
      <c r="K330" s="15">
        <v>30</v>
      </c>
      <c r="L330" s="15">
        <v>5075</v>
      </c>
      <c r="M330" s="16">
        <f t="shared" si="25"/>
        <v>169.16666666666666</v>
      </c>
      <c r="N330" s="15">
        <v>0</v>
      </c>
      <c r="O330" s="16">
        <f t="shared" si="26"/>
        <v>5400</v>
      </c>
      <c r="P330" s="15" t="s">
        <v>18</v>
      </c>
      <c r="Q330" s="15">
        <v>0.06</v>
      </c>
      <c r="R330" s="16">
        <f t="shared" si="27"/>
        <v>324</v>
      </c>
      <c r="S330" s="15">
        <v>0</v>
      </c>
      <c r="T330" s="15">
        <v>0</v>
      </c>
      <c r="U330" s="17">
        <f t="shared" si="28"/>
        <v>324</v>
      </c>
      <c r="V330" s="12" t="s">
        <v>49</v>
      </c>
      <c r="W330" s="12">
        <v>37</v>
      </c>
    </row>
    <row r="331" spans="4:23" s="12" customFormat="1" ht="30.75" customHeight="1" thickTop="1" thickBot="1" x14ac:dyDescent="0.35">
      <c r="D331" s="10"/>
      <c r="G331" s="13">
        <f t="shared" si="29"/>
        <v>330</v>
      </c>
      <c r="H331" s="18">
        <v>45759</v>
      </c>
      <c r="I331" s="15" t="s">
        <v>41</v>
      </c>
      <c r="J331" s="15">
        <v>6725.4</v>
      </c>
      <c r="K331" s="15">
        <v>50</v>
      </c>
      <c r="L331" s="15">
        <v>5518.19</v>
      </c>
      <c r="M331" s="16">
        <f t="shared" si="25"/>
        <v>110.3638</v>
      </c>
      <c r="N331" s="15">
        <v>0</v>
      </c>
      <c r="O331" s="16">
        <f t="shared" si="26"/>
        <v>6725.4</v>
      </c>
      <c r="P331" s="15" t="s">
        <v>26</v>
      </c>
      <c r="Q331" s="15">
        <v>0.02</v>
      </c>
      <c r="R331" s="16">
        <f t="shared" si="27"/>
        <v>134.50799999999998</v>
      </c>
      <c r="S331" s="15">
        <v>0</v>
      </c>
      <c r="T331" s="15">
        <v>0</v>
      </c>
      <c r="U331" s="17">
        <f t="shared" si="28"/>
        <v>134.50799999999998</v>
      </c>
      <c r="V331" s="12" t="s">
        <v>49</v>
      </c>
      <c r="W331" s="12">
        <v>130</v>
      </c>
    </row>
    <row r="332" spans="4:23" s="12" customFormat="1" ht="30.75" customHeight="1" thickTop="1" thickBot="1" x14ac:dyDescent="0.35">
      <c r="D332" s="10"/>
      <c r="G332" s="13">
        <f t="shared" si="29"/>
        <v>331</v>
      </c>
      <c r="H332" s="18">
        <v>45759</v>
      </c>
      <c r="I332" s="15" t="s">
        <v>30</v>
      </c>
      <c r="J332" s="15">
        <v>57024</v>
      </c>
      <c r="K332" s="15">
        <v>200</v>
      </c>
      <c r="L332" s="15">
        <v>41627.519999999997</v>
      </c>
      <c r="M332" s="16">
        <f t="shared" si="25"/>
        <v>208.13759999999999</v>
      </c>
      <c r="N332" s="15">
        <v>0</v>
      </c>
      <c r="O332" s="16">
        <f t="shared" si="26"/>
        <v>57024</v>
      </c>
      <c r="P332" s="15" t="s">
        <v>18</v>
      </c>
      <c r="Q332" s="15">
        <v>0.06</v>
      </c>
      <c r="R332" s="16">
        <f t="shared" si="27"/>
        <v>3421.44</v>
      </c>
      <c r="S332" s="15">
        <v>0</v>
      </c>
      <c r="T332" s="15">
        <v>0</v>
      </c>
      <c r="U332" s="17">
        <f t="shared" si="28"/>
        <v>3421.44</v>
      </c>
      <c r="V332" s="12" t="s">
        <v>49</v>
      </c>
      <c r="W332" s="12">
        <v>38</v>
      </c>
    </row>
    <row r="333" spans="4:23" s="12" customFormat="1" ht="30.75" customHeight="1" thickTop="1" thickBot="1" x14ac:dyDescent="0.35">
      <c r="D333" s="10"/>
      <c r="G333" s="13">
        <f t="shared" si="29"/>
        <v>332</v>
      </c>
      <c r="H333" s="18">
        <v>45759</v>
      </c>
      <c r="I333" s="15" t="s">
        <v>17</v>
      </c>
      <c r="J333" s="15">
        <v>94089.600000000006</v>
      </c>
      <c r="K333" s="15">
        <v>330</v>
      </c>
      <c r="L333" s="15">
        <v>68685.41</v>
      </c>
      <c r="M333" s="16">
        <f t="shared" si="25"/>
        <v>208.13760606060606</v>
      </c>
      <c r="N333" s="15">
        <v>0</v>
      </c>
      <c r="O333" s="16">
        <f t="shared" si="26"/>
        <v>94089.600000000006</v>
      </c>
      <c r="P333" s="15" t="s">
        <v>18</v>
      </c>
      <c r="Q333" s="15">
        <v>0.06</v>
      </c>
      <c r="R333" s="16">
        <f t="shared" si="27"/>
        <v>5645.3760000000002</v>
      </c>
      <c r="S333" s="15">
        <v>0</v>
      </c>
      <c r="T333" s="15">
        <v>0</v>
      </c>
      <c r="U333" s="17">
        <f t="shared" si="28"/>
        <v>5645.3760000000002</v>
      </c>
      <c r="V333" s="12" t="s">
        <v>49</v>
      </c>
      <c r="W333" s="12">
        <v>38</v>
      </c>
    </row>
    <row r="334" spans="4:23" s="12" customFormat="1" ht="30.75" customHeight="1" thickTop="1" thickBot="1" x14ac:dyDescent="0.35">
      <c r="D334" s="10"/>
      <c r="G334" s="13">
        <f t="shared" si="29"/>
        <v>333</v>
      </c>
      <c r="H334" s="18">
        <v>45759</v>
      </c>
      <c r="I334" s="15" t="s">
        <v>35</v>
      </c>
      <c r="J334" s="15">
        <v>7008</v>
      </c>
      <c r="K334" s="15">
        <v>40</v>
      </c>
      <c r="L334" s="15">
        <v>6587.52</v>
      </c>
      <c r="M334" s="16">
        <f t="shared" si="25"/>
        <v>164.68800000000002</v>
      </c>
      <c r="N334" s="15">
        <v>0</v>
      </c>
      <c r="O334" s="16">
        <f t="shared" si="26"/>
        <v>7008</v>
      </c>
      <c r="P334" s="15" t="s">
        <v>18</v>
      </c>
      <c r="Q334" s="15">
        <v>0.06</v>
      </c>
      <c r="R334" s="16">
        <f t="shared" si="27"/>
        <v>420.47999999999996</v>
      </c>
      <c r="S334" s="15">
        <v>0</v>
      </c>
      <c r="T334" s="15">
        <v>0</v>
      </c>
      <c r="U334" s="17">
        <f t="shared" si="28"/>
        <v>420.47999999999996</v>
      </c>
      <c r="V334" s="12" t="s">
        <v>49</v>
      </c>
      <c r="W334" s="12">
        <v>38</v>
      </c>
    </row>
    <row r="335" spans="4:23" s="12" customFormat="1" ht="30.75" customHeight="1" thickTop="1" thickBot="1" x14ac:dyDescent="0.35">
      <c r="D335" s="10"/>
      <c r="G335" s="13">
        <f t="shared" si="29"/>
        <v>334</v>
      </c>
      <c r="H335" s="18">
        <v>45759</v>
      </c>
      <c r="I335" s="15" t="s">
        <v>21</v>
      </c>
      <c r="J335" s="15">
        <v>2232</v>
      </c>
      <c r="K335" s="15">
        <v>10</v>
      </c>
      <c r="L335" s="15">
        <v>2098.08</v>
      </c>
      <c r="M335" s="16">
        <f t="shared" si="25"/>
        <v>209.80799999999999</v>
      </c>
      <c r="N335" s="15">
        <v>0</v>
      </c>
      <c r="O335" s="16">
        <f t="shared" si="26"/>
        <v>2232</v>
      </c>
      <c r="P335" s="15" t="s">
        <v>18</v>
      </c>
      <c r="Q335" s="15">
        <v>0.06</v>
      </c>
      <c r="R335" s="16">
        <f t="shared" si="27"/>
        <v>133.91999999999999</v>
      </c>
      <c r="S335" s="15">
        <v>0</v>
      </c>
      <c r="T335" s="15">
        <v>0</v>
      </c>
      <c r="U335" s="17">
        <f t="shared" si="28"/>
        <v>133.91999999999999</v>
      </c>
      <c r="V335" s="12" t="s">
        <v>49</v>
      </c>
      <c r="W335" s="12">
        <v>38</v>
      </c>
    </row>
    <row r="336" spans="4:23" s="12" customFormat="1" ht="30.75" customHeight="1" thickTop="1" thickBot="1" x14ac:dyDescent="0.35">
      <c r="D336" s="10"/>
      <c r="G336" s="13">
        <f t="shared" si="29"/>
        <v>335</v>
      </c>
      <c r="H336" s="18">
        <v>45759</v>
      </c>
      <c r="I336" s="15" t="s">
        <v>22</v>
      </c>
      <c r="J336" s="15">
        <v>2692.5</v>
      </c>
      <c r="K336" s="15">
        <v>10</v>
      </c>
      <c r="L336" s="15">
        <v>2530.9499999999998</v>
      </c>
      <c r="M336" s="16">
        <f t="shared" si="25"/>
        <v>253.09499999999997</v>
      </c>
      <c r="N336" s="15">
        <v>0</v>
      </c>
      <c r="O336" s="16">
        <f t="shared" si="26"/>
        <v>2692.5</v>
      </c>
      <c r="P336" s="15" t="s">
        <v>18</v>
      </c>
      <c r="Q336" s="15">
        <v>0.06</v>
      </c>
      <c r="R336" s="16">
        <f t="shared" si="27"/>
        <v>161.54999999999998</v>
      </c>
      <c r="S336" s="15">
        <v>0</v>
      </c>
      <c r="T336" s="15">
        <v>0</v>
      </c>
      <c r="U336" s="17">
        <f t="shared" si="28"/>
        <v>161.54999999999998</v>
      </c>
      <c r="V336" s="12" t="s">
        <v>49</v>
      </c>
      <c r="W336" s="12">
        <v>38</v>
      </c>
    </row>
    <row r="337" spans="4:23" s="12" customFormat="1" ht="30.75" customHeight="1" thickTop="1" thickBot="1" x14ac:dyDescent="0.35">
      <c r="D337" s="10"/>
      <c r="G337" s="13">
        <f t="shared" si="29"/>
        <v>336</v>
      </c>
      <c r="H337" s="18">
        <v>45759</v>
      </c>
      <c r="I337" s="15" t="s">
        <v>23</v>
      </c>
      <c r="J337" s="15">
        <v>54000</v>
      </c>
      <c r="K337" s="15">
        <v>300</v>
      </c>
      <c r="L337" s="15">
        <v>47520</v>
      </c>
      <c r="M337" s="16">
        <f t="shared" si="25"/>
        <v>158.4</v>
      </c>
      <c r="N337" s="15">
        <v>0</v>
      </c>
      <c r="O337" s="16">
        <f t="shared" si="26"/>
        <v>54000</v>
      </c>
      <c r="P337" s="15" t="s">
        <v>18</v>
      </c>
      <c r="Q337" s="15">
        <v>0.06</v>
      </c>
      <c r="R337" s="16">
        <f t="shared" si="27"/>
        <v>3240</v>
      </c>
      <c r="S337" s="15">
        <v>0</v>
      </c>
      <c r="T337" s="15">
        <v>0</v>
      </c>
      <c r="U337" s="17">
        <f t="shared" si="28"/>
        <v>3240</v>
      </c>
      <c r="V337" s="12" t="s">
        <v>49</v>
      </c>
      <c r="W337" s="12">
        <v>38</v>
      </c>
    </row>
    <row r="338" spans="4:23" s="12" customFormat="1" ht="30.75" customHeight="1" thickTop="1" thickBot="1" x14ac:dyDescent="0.35">
      <c r="D338" s="10"/>
      <c r="G338" s="13">
        <f t="shared" si="29"/>
        <v>337</v>
      </c>
      <c r="H338" s="18">
        <v>45759</v>
      </c>
      <c r="I338" s="15" t="s">
        <v>24</v>
      </c>
      <c r="J338" s="15">
        <v>9151.2000000000007</v>
      </c>
      <c r="K338" s="15">
        <v>30</v>
      </c>
      <c r="L338" s="15">
        <v>8053.06</v>
      </c>
      <c r="M338" s="16">
        <f t="shared" si="25"/>
        <v>268.43533333333335</v>
      </c>
      <c r="N338" s="15">
        <v>0</v>
      </c>
      <c r="O338" s="16">
        <f t="shared" si="26"/>
        <v>9151.2000000000007</v>
      </c>
      <c r="P338" s="15" t="s">
        <v>18</v>
      </c>
      <c r="Q338" s="15">
        <v>0.06</v>
      </c>
      <c r="R338" s="16">
        <f t="shared" si="27"/>
        <v>549.072</v>
      </c>
      <c r="S338" s="15">
        <v>0</v>
      </c>
      <c r="T338" s="15">
        <v>0</v>
      </c>
      <c r="U338" s="17">
        <f t="shared" si="28"/>
        <v>549.072</v>
      </c>
      <c r="V338" s="12" t="s">
        <v>49</v>
      </c>
      <c r="W338" s="12">
        <v>38</v>
      </c>
    </row>
    <row r="339" spans="4:23" s="12" customFormat="1" ht="30.75" customHeight="1" thickTop="1" thickBot="1" x14ac:dyDescent="0.35">
      <c r="D339" s="10"/>
      <c r="G339" s="13">
        <f t="shared" si="29"/>
        <v>338</v>
      </c>
      <c r="H339" s="18">
        <v>45759</v>
      </c>
      <c r="I339" s="15" t="s">
        <v>31</v>
      </c>
      <c r="J339" s="15">
        <v>5400</v>
      </c>
      <c r="K339" s="15">
        <v>30</v>
      </c>
      <c r="L339" s="15">
        <v>4752</v>
      </c>
      <c r="M339" s="16">
        <f t="shared" si="25"/>
        <v>158.4</v>
      </c>
      <c r="N339" s="15">
        <v>0</v>
      </c>
      <c r="O339" s="16">
        <f t="shared" si="26"/>
        <v>5400</v>
      </c>
      <c r="P339" s="15" t="s">
        <v>18</v>
      </c>
      <c r="Q339" s="15">
        <v>0.06</v>
      </c>
      <c r="R339" s="16">
        <f t="shared" si="27"/>
        <v>324</v>
      </c>
      <c r="S339" s="15">
        <v>0</v>
      </c>
      <c r="T339" s="15">
        <v>0</v>
      </c>
      <c r="U339" s="17">
        <f t="shared" si="28"/>
        <v>324</v>
      </c>
      <c r="V339" s="12" t="s">
        <v>49</v>
      </c>
      <c r="W339" s="12">
        <v>38</v>
      </c>
    </row>
    <row r="340" spans="4:23" s="12" customFormat="1" ht="30.75" customHeight="1" thickTop="1" thickBot="1" x14ac:dyDescent="0.35">
      <c r="D340" s="10"/>
      <c r="G340" s="13">
        <f t="shared" si="29"/>
        <v>339</v>
      </c>
      <c r="H340" s="18">
        <v>45761</v>
      </c>
      <c r="I340" s="15" t="s">
        <v>35</v>
      </c>
      <c r="J340" s="15">
        <v>7008</v>
      </c>
      <c r="K340" s="15">
        <v>40</v>
      </c>
      <c r="L340" s="15">
        <v>6587.52</v>
      </c>
      <c r="M340" s="16">
        <f t="shared" si="25"/>
        <v>164.68800000000002</v>
      </c>
      <c r="N340" s="15">
        <v>0</v>
      </c>
      <c r="O340" s="16">
        <f t="shared" si="26"/>
        <v>7008</v>
      </c>
      <c r="P340" s="15" t="s">
        <v>18</v>
      </c>
      <c r="Q340" s="15">
        <v>0.06</v>
      </c>
      <c r="R340" s="16">
        <f t="shared" si="27"/>
        <v>420.47999999999996</v>
      </c>
      <c r="S340" s="15">
        <v>0</v>
      </c>
      <c r="T340" s="15">
        <v>0</v>
      </c>
      <c r="U340" s="17">
        <f t="shared" si="28"/>
        <v>420.47999999999996</v>
      </c>
      <c r="V340" s="12" t="s">
        <v>49</v>
      </c>
      <c r="W340" s="12">
        <v>39</v>
      </c>
    </row>
    <row r="341" spans="4:23" s="12" customFormat="1" ht="30.75" customHeight="1" thickTop="1" thickBot="1" x14ac:dyDescent="0.35">
      <c r="D341" s="10"/>
      <c r="G341" s="13">
        <f t="shared" si="29"/>
        <v>340</v>
      </c>
      <c r="H341" s="18">
        <v>45761</v>
      </c>
      <c r="I341" s="15" t="s">
        <v>22</v>
      </c>
      <c r="J341" s="15">
        <v>2692.5</v>
      </c>
      <c r="K341" s="15">
        <v>10</v>
      </c>
      <c r="L341" s="15">
        <v>2230.9499999999998</v>
      </c>
      <c r="M341" s="16">
        <f t="shared" si="25"/>
        <v>223.09499999999997</v>
      </c>
      <c r="N341" s="15">
        <v>0</v>
      </c>
      <c r="O341" s="16">
        <f t="shared" si="26"/>
        <v>2692.5</v>
      </c>
      <c r="P341" s="15" t="s">
        <v>18</v>
      </c>
      <c r="Q341" s="15">
        <v>0.06</v>
      </c>
      <c r="R341" s="16">
        <f t="shared" si="27"/>
        <v>161.54999999999998</v>
      </c>
      <c r="S341" s="15">
        <v>0</v>
      </c>
      <c r="T341" s="15">
        <v>0</v>
      </c>
      <c r="U341" s="17">
        <f t="shared" si="28"/>
        <v>161.54999999999998</v>
      </c>
      <c r="V341" s="12" t="s">
        <v>49</v>
      </c>
      <c r="W341" s="12">
        <v>39</v>
      </c>
    </row>
    <row r="342" spans="4:23" s="12" customFormat="1" ht="30.75" customHeight="1" thickTop="1" thickBot="1" x14ac:dyDescent="0.35">
      <c r="D342" s="10"/>
      <c r="G342" s="13">
        <f t="shared" si="29"/>
        <v>341</v>
      </c>
      <c r="H342" s="18">
        <v>45761</v>
      </c>
      <c r="I342" s="15" t="s">
        <v>24</v>
      </c>
      <c r="J342" s="15">
        <v>6100.8</v>
      </c>
      <c r="K342" s="15">
        <v>20</v>
      </c>
      <c r="L342" s="15">
        <v>5368.7</v>
      </c>
      <c r="M342" s="16">
        <f t="shared" si="25"/>
        <v>268.435</v>
      </c>
      <c r="N342" s="15">
        <v>0</v>
      </c>
      <c r="O342" s="16">
        <f t="shared" si="26"/>
        <v>6100.8</v>
      </c>
      <c r="P342" s="15" t="s">
        <v>18</v>
      </c>
      <c r="Q342" s="15">
        <v>0.06</v>
      </c>
      <c r="R342" s="16">
        <f t="shared" si="27"/>
        <v>366.048</v>
      </c>
      <c r="S342" s="15">
        <v>0</v>
      </c>
      <c r="T342" s="15">
        <v>0</v>
      </c>
      <c r="U342" s="17">
        <f t="shared" si="28"/>
        <v>366.048</v>
      </c>
      <c r="V342" s="12" t="s">
        <v>49</v>
      </c>
      <c r="W342" s="12">
        <v>39</v>
      </c>
    </row>
    <row r="343" spans="4:23" s="12" customFormat="1" ht="30.75" customHeight="1" thickTop="1" thickBot="1" x14ac:dyDescent="0.35">
      <c r="D343" s="10"/>
      <c r="G343" s="13">
        <f t="shared" si="29"/>
        <v>342</v>
      </c>
      <c r="H343" s="18">
        <v>45761</v>
      </c>
      <c r="I343" s="15" t="s">
        <v>25</v>
      </c>
      <c r="J343" s="15">
        <v>32410.799999999999</v>
      </c>
      <c r="K343" s="15">
        <v>135</v>
      </c>
      <c r="L343" s="15">
        <v>25679.08</v>
      </c>
      <c r="M343" s="16">
        <f t="shared" si="25"/>
        <v>190.21540740740741</v>
      </c>
      <c r="N343" s="15">
        <v>0</v>
      </c>
      <c r="O343" s="16">
        <f t="shared" si="26"/>
        <v>32410.799999999999</v>
      </c>
      <c r="P343" s="15" t="s">
        <v>26</v>
      </c>
      <c r="Q343" s="15">
        <v>0.02</v>
      </c>
      <c r="R343" s="16">
        <f t="shared" si="27"/>
        <v>648.21600000000001</v>
      </c>
      <c r="S343" s="15">
        <v>0</v>
      </c>
      <c r="T343" s="15">
        <v>0</v>
      </c>
      <c r="U343" s="17">
        <f t="shared" si="28"/>
        <v>648.21600000000001</v>
      </c>
      <c r="V343" s="12" t="s">
        <v>49</v>
      </c>
      <c r="W343" s="12">
        <v>39</v>
      </c>
    </row>
    <row r="344" spans="4:23" s="12" customFormat="1" ht="30.75" customHeight="1" thickTop="1" thickBot="1" x14ac:dyDescent="0.35">
      <c r="D344" s="10"/>
      <c r="G344" s="13">
        <f t="shared" si="29"/>
        <v>343</v>
      </c>
      <c r="H344" s="18">
        <v>45761</v>
      </c>
      <c r="I344" s="15" t="s">
        <v>41</v>
      </c>
      <c r="J344" s="15">
        <v>6725.4</v>
      </c>
      <c r="K344" s="15">
        <v>50</v>
      </c>
      <c r="L344" s="15">
        <v>5518.19</v>
      </c>
      <c r="M344" s="16">
        <f t="shared" si="25"/>
        <v>110.3638</v>
      </c>
      <c r="N344" s="15">
        <v>0</v>
      </c>
      <c r="O344" s="16">
        <f t="shared" si="26"/>
        <v>6725.4</v>
      </c>
      <c r="P344" s="15" t="s">
        <v>26</v>
      </c>
      <c r="Q344" s="15">
        <v>0.02</v>
      </c>
      <c r="R344" s="16">
        <f t="shared" si="27"/>
        <v>134.50799999999998</v>
      </c>
      <c r="S344" s="15">
        <v>0</v>
      </c>
      <c r="T344" s="15">
        <v>0</v>
      </c>
      <c r="U344" s="17">
        <f t="shared" si="28"/>
        <v>134.50799999999998</v>
      </c>
      <c r="V344" s="12" t="s">
        <v>49</v>
      </c>
      <c r="W344" s="12">
        <v>39</v>
      </c>
    </row>
    <row r="345" spans="4:23" s="12" customFormat="1" ht="30.75" customHeight="1" thickTop="1" thickBot="1" x14ac:dyDescent="0.35">
      <c r="D345" s="10"/>
      <c r="G345" s="13">
        <f t="shared" si="29"/>
        <v>344</v>
      </c>
      <c r="H345" s="18">
        <v>45761</v>
      </c>
      <c r="I345" s="15" t="s">
        <v>30</v>
      </c>
      <c r="J345" s="15">
        <v>42768</v>
      </c>
      <c r="K345" s="15">
        <v>150</v>
      </c>
      <c r="L345" s="15">
        <v>31220.639999999999</v>
      </c>
      <c r="M345" s="16">
        <f t="shared" si="25"/>
        <v>208.13759999999999</v>
      </c>
      <c r="N345" s="15">
        <v>0</v>
      </c>
      <c r="O345" s="16">
        <f t="shared" si="26"/>
        <v>42768</v>
      </c>
      <c r="P345" s="15" t="s">
        <v>18</v>
      </c>
      <c r="Q345" s="15">
        <v>0.06</v>
      </c>
      <c r="R345" s="16">
        <f t="shared" si="27"/>
        <v>2566.08</v>
      </c>
      <c r="S345" s="15">
        <v>0</v>
      </c>
      <c r="T345" s="15">
        <v>0</v>
      </c>
      <c r="U345" s="17">
        <f t="shared" si="28"/>
        <v>2566.08</v>
      </c>
      <c r="V345" s="12" t="s">
        <v>49</v>
      </c>
      <c r="W345" s="12">
        <v>39</v>
      </c>
    </row>
    <row r="346" spans="4:23" s="12" customFormat="1" ht="30.75" customHeight="1" thickTop="1" thickBot="1" x14ac:dyDescent="0.35">
      <c r="D346" s="10"/>
      <c r="G346" s="13">
        <f t="shared" si="29"/>
        <v>345</v>
      </c>
      <c r="H346" s="18">
        <v>45761</v>
      </c>
      <c r="I346" s="15" t="s">
        <v>17</v>
      </c>
      <c r="J346" s="15">
        <v>94089.600000000006</v>
      </c>
      <c r="K346" s="15">
        <v>330</v>
      </c>
      <c r="L346" s="15">
        <v>68686.41</v>
      </c>
      <c r="M346" s="16">
        <f t="shared" si="25"/>
        <v>208.14063636363636</v>
      </c>
      <c r="N346" s="15">
        <v>0</v>
      </c>
      <c r="O346" s="16">
        <f t="shared" si="26"/>
        <v>94089.600000000006</v>
      </c>
      <c r="P346" s="15" t="s">
        <v>18</v>
      </c>
      <c r="Q346" s="15">
        <v>0.06</v>
      </c>
      <c r="R346" s="16">
        <f t="shared" si="27"/>
        <v>5645.3760000000002</v>
      </c>
      <c r="S346" s="15">
        <v>0</v>
      </c>
      <c r="T346" s="15">
        <v>0</v>
      </c>
      <c r="U346" s="17">
        <f t="shared" si="28"/>
        <v>5645.3760000000002</v>
      </c>
      <c r="V346" s="12" t="s">
        <v>49</v>
      </c>
      <c r="W346" s="12">
        <v>39</v>
      </c>
    </row>
    <row r="347" spans="4:23" s="12" customFormat="1" ht="30.75" customHeight="1" thickTop="1" thickBot="1" x14ac:dyDescent="0.35">
      <c r="D347" s="10"/>
      <c r="G347" s="13">
        <f t="shared" si="29"/>
        <v>346</v>
      </c>
      <c r="H347" s="18">
        <v>45761</v>
      </c>
      <c r="I347" s="15" t="s">
        <v>23</v>
      </c>
      <c r="J347" s="15">
        <v>45000</v>
      </c>
      <c r="K347" s="15">
        <v>250</v>
      </c>
      <c r="L347" s="15">
        <v>39600</v>
      </c>
      <c r="M347" s="16">
        <f t="shared" si="25"/>
        <v>158.4</v>
      </c>
      <c r="N347" s="15">
        <v>0</v>
      </c>
      <c r="O347" s="16">
        <f t="shared" si="26"/>
        <v>45000</v>
      </c>
      <c r="P347" s="15" t="s">
        <v>18</v>
      </c>
      <c r="Q347" s="15">
        <v>0.06</v>
      </c>
      <c r="R347" s="16">
        <f t="shared" si="27"/>
        <v>2700</v>
      </c>
      <c r="S347" s="15">
        <v>0</v>
      </c>
      <c r="T347" s="15">
        <v>0</v>
      </c>
      <c r="U347" s="17">
        <f t="shared" si="28"/>
        <v>2700</v>
      </c>
      <c r="V347" s="12" t="s">
        <v>49</v>
      </c>
      <c r="W347" s="12">
        <v>39</v>
      </c>
    </row>
    <row r="348" spans="4:23" s="12" customFormat="1" ht="30.75" customHeight="1" thickTop="1" thickBot="1" x14ac:dyDescent="0.35">
      <c r="D348" s="10"/>
      <c r="G348" s="13">
        <f t="shared" si="29"/>
        <v>347</v>
      </c>
      <c r="H348" s="18">
        <v>45761</v>
      </c>
      <c r="I348" s="15" t="s">
        <v>31</v>
      </c>
      <c r="J348" s="15">
        <v>7200</v>
      </c>
      <c r="K348" s="15">
        <v>40</v>
      </c>
      <c r="L348" s="15">
        <v>6336</v>
      </c>
      <c r="M348" s="16">
        <f t="shared" si="25"/>
        <v>158.4</v>
      </c>
      <c r="N348" s="15">
        <v>0</v>
      </c>
      <c r="O348" s="16">
        <f t="shared" si="26"/>
        <v>7200</v>
      </c>
      <c r="P348" s="15" t="s">
        <v>18</v>
      </c>
      <c r="Q348" s="15">
        <v>0.06</v>
      </c>
      <c r="R348" s="16">
        <f t="shared" si="27"/>
        <v>432</v>
      </c>
      <c r="S348" s="15">
        <v>0</v>
      </c>
      <c r="T348" s="15">
        <v>0</v>
      </c>
      <c r="U348" s="17">
        <f t="shared" si="28"/>
        <v>432</v>
      </c>
      <c r="V348" s="12" t="s">
        <v>49</v>
      </c>
      <c r="W348" s="12">
        <v>39</v>
      </c>
    </row>
    <row r="349" spans="4:23" s="12" customFormat="1" ht="30.75" customHeight="1" thickTop="1" thickBot="1" x14ac:dyDescent="0.35">
      <c r="D349" s="10"/>
      <c r="G349" s="13">
        <f t="shared" si="29"/>
        <v>348</v>
      </c>
      <c r="H349" s="18">
        <v>45763</v>
      </c>
      <c r="I349" s="15" t="s">
        <v>25</v>
      </c>
      <c r="J349" s="15">
        <v>36492.160000000003</v>
      </c>
      <c r="K349" s="15">
        <v>152</v>
      </c>
      <c r="L349" s="15">
        <v>28912.74</v>
      </c>
      <c r="M349" s="16">
        <f t="shared" si="25"/>
        <v>190.21539473684211</v>
      </c>
      <c r="N349" s="15">
        <v>0</v>
      </c>
      <c r="O349" s="16">
        <f t="shared" si="26"/>
        <v>36492.160000000003</v>
      </c>
      <c r="P349" s="15" t="s">
        <v>26</v>
      </c>
      <c r="Q349" s="15">
        <v>0.02</v>
      </c>
      <c r="R349" s="16">
        <f t="shared" si="27"/>
        <v>729.84320000000014</v>
      </c>
      <c r="S349" s="15">
        <v>0</v>
      </c>
      <c r="T349" s="15">
        <v>0</v>
      </c>
      <c r="U349" s="17">
        <f t="shared" si="28"/>
        <v>729.84320000000014</v>
      </c>
      <c r="V349" s="12" t="s">
        <v>49</v>
      </c>
      <c r="W349" s="12">
        <v>131</v>
      </c>
    </row>
    <row r="350" spans="4:23" s="12" customFormat="1" ht="30.75" customHeight="1" thickTop="1" thickBot="1" x14ac:dyDescent="0.35">
      <c r="D350" s="10"/>
      <c r="G350" s="13">
        <f t="shared" si="29"/>
        <v>349</v>
      </c>
      <c r="H350" s="18">
        <v>45763</v>
      </c>
      <c r="I350" s="15" t="s">
        <v>41</v>
      </c>
      <c r="J350" s="15">
        <v>13450.8</v>
      </c>
      <c r="K350" s="15">
        <v>100</v>
      </c>
      <c r="L350" s="15">
        <v>11036.38</v>
      </c>
      <c r="M350" s="16">
        <f t="shared" si="25"/>
        <v>110.3638</v>
      </c>
      <c r="N350" s="15">
        <v>0</v>
      </c>
      <c r="O350" s="16">
        <f t="shared" si="26"/>
        <v>13450.8</v>
      </c>
      <c r="P350" s="15" t="s">
        <v>26</v>
      </c>
      <c r="Q350" s="15">
        <v>0.02</v>
      </c>
      <c r="R350" s="16">
        <f t="shared" si="27"/>
        <v>269.01599999999996</v>
      </c>
      <c r="S350" s="15">
        <v>0</v>
      </c>
      <c r="T350" s="15">
        <v>0</v>
      </c>
      <c r="U350" s="17">
        <f t="shared" si="28"/>
        <v>269.01599999999996</v>
      </c>
      <c r="V350" s="12" t="s">
        <v>49</v>
      </c>
      <c r="W350" s="12">
        <v>131</v>
      </c>
    </row>
    <row r="351" spans="4:23" s="12" customFormat="1" ht="30.75" customHeight="1" thickTop="1" thickBot="1" x14ac:dyDescent="0.35">
      <c r="D351" s="10"/>
      <c r="G351" s="13">
        <f t="shared" si="29"/>
        <v>350</v>
      </c>
      <c r="H351" s="18">
        <v>45763</v>
      </c>
      <c r="I351" s="15" t="s">
        <v>30</v>
      </c>
      <c r="J351" s="15">
        <v>28512</v>
      </c>
      <c r="K351" s="15">
        <v>100</v>
      </c>
      <c r="L351" s="15">
        <v>22809.599999999999</v>
      </c>
      <c r="M351" s="16">
        <f t="shared" si="25"/>
        <v>228.09599999999998</v>
      </c>
      <c r="N351" s="15">
        <v>0</v>
      </c>
      <c r="O351" s="16">
        <f t="shared" si="26"/>
        <v>28512</v>
      </c>
      <c r="P351" s="15" t="s">
        <v>18</v>
      </c>
      <c r="Q351" s="15">
        <v>0.06</v>
      </c>
      <c r="R351" s="16">
        <f t="shared" si="27"/>
        <v>1710.72</v>
      </c>
      <c r="S351" s="15">
        <v>0</v>
      </c>
      <c r="T351" s="15">
        <v>0</v>
      </c>
      <c r="U351" s="17">
        <f t="shared" si="28"/>
        <v>1710.72</v>
      </c>
      <c r="V351" s="12" t="s">
        <v>49</v>
      </c>
      <c r="W351" s="12">
        <v>40</v>
      </c>
    </row>
    <row r="352" spans="4:23" s="12" customFormat="1" ht="30.75" customHeight="1" thickTop="1" thickBot="1" x14ac:dyDescent="0.35">
      <c r="D352" s="10"/>
      <c r="G352" s="13">
        <f t="shared" si="29"/>
        <v>351</v>
      </c>
      <c r="H352" s="18">
        <v>45763</v>
      </c>
      <c r="I352" s="15" t="s">
        <v>17</v>
      </c>
      <c r="J352" s="15">
        <v>28512</v>
      </c>
      <c r="K352" s="15">
        <v>100</v>
      </c>
      <c r="L352" s="15">
        <v>22809.599999999999</v>
      </c>
      <c r="M352" s="16">
        <f t="shared" si="25"/>
        <v>228.09599999999998</v>
      </c>
      <c r="N352" s="15">
        <v>0</v>
      </c>
      <c r="O352" s="16">
        <f t="shared" si="26"/>
        <v>28512</v>
      </c>
      <c r="P352" s="15" t="s">
        <v>18</v>
      </c>
      <c r="Q352" s="15">
        <v>0.06</v>
      </c>
      <c r="R352" s="16">
        <f t="shared" si="27"/>
        <v>1710.72</v>
      </c>
      <c r="S352" s="15">
        <v>0</v>
      </c>
      <c r="T352" s="15">
        <v>0</v>
      </c>
      <c r="U352" s="17">
        <f t="shared" si="28"/>
        <v>1710.72</v>
      </c>
      <c r="V352" s="12" t="s">
        <v>49</v>
      </c>
      <c r="W352" s="12">
        <v>40</v>
      </c>
    </row>
    <row r="353" spans="4:23" s="12" customFormat="1" ht="30.75" customHeight="1" thickTop="1" thickBot="1" x14ac:dyDescent="0.35">
      <c r="D353" s="10"/>
      <c r="G353" s="13">
        <f t="shared" si="29"/>
        <v>352</v>
      </c>
      <c r="H353" s="18">
        <v>45763</v>
      </c>
      <c r="I353" s="15" t="s">
        <v>21</v>
      </c>
      <c r="J353" s="15">
        <v>2232</v>
      </c>
      <c r="K353" s="15">
        <v>10</v>
      </c>
      <c r="L353" s="15">
        <v>2098.08</v>
      </c>
      <c r="M353" s="16">
        <f t="shared" si="25"/>
        <v>209.80799999999999</v>
      </c>
      <c r="N353" s="15">
        <v>0</v>
      </c>
      <c r="O353" s="16">
        <f t="shared" si="26"/>
        <v>2232</v>
      </c>
      <c r="P353" s="15" t="s">
        <v>18</v>
      </c>
      <c r="Q353" s="15">
        <v>0.06</v>
      </c>
      <c r="R353" s="16">
        <f t="shared" si="27"/>
        <v>133.91999999999999</v>
      </c>
      <c r="S353" s="15">
        <v>0</v>
      </c>
      <c r="T353" s="15">
        <v>0</v>
      </c>
      <c r="U353" s="17">
        <f t="shared" si="28"/>
        <v>133.91999999999999</v>
      </c>
      <c r="V353" s="12" t="s">
        <v>49</v>
      </c>
      <c r="W353" s="12">
        <v>40</v>
      </c>
    </row>
    <row r="354" spans="4:23" s="12" customFormat="1" ht="30.75" customHeight="1" thickTop="1" thickBot="1" x14ac:dyDescent="0.35">
      <c r="D354" s="10"/>
      <c r="G354" s="13">
        <f t="shared" si="29"/>
        <v>353</v>
      </c>
      <c r="H354" s="18">
        <v>45763</v>
      </c>
      <c r="I354" s="15" t="s">
        <v>23</v>
      </c>
      <c r="J354" s="15">
        <v>51300</v>
      </c>
      <c r="K354" s="15">
        <v>285</v>
      </c>
      <c r="L354" s="15">
        <v>45144</v>
      </c>
      <c r="M354" s="16">
        <f t="shared" si="25"/>
        <v>158.4</v>
      </c>
      <c r="N354" s="15">
        <v>0</v>
      </c>
      <c r="O354" s="16">
        <f t="shared" si="26"/>
        <v>51300</v>
      </c>
      <c r="P354" s="15" t="s">
        <v>18</v>
      </c>
      <c r="Q354" s="15">
        <v>0.06</v>
      </c>
      <c r="R354" s="16">
        <f t="shared" si="27"/>
        <v>3078</v>
      </c>
      <c r="S354" s="15">
        <v>0</v>
      </c>
      <c r="T354" s="15">
        <v>0</v>
      </c>
      <c r="U354" s="17">
        <f t="shared" si="28"/>
        <v>3078</v>
      </c>
      <c r="V354" s="12" t="s">
        <v>49</v>
      </c>
      <c r="W354" s="12">
        <v>40</v>
      </c>
    </row>
    <row r="355" spans="4:23" s="12" customFormat="1" ht="30.75" customHeight="1" thickTop="1" thickBot="1" x14ac:dyDescent="0.35">
      <c r="D355" s="10"/>
      <c r="G355" s="13">
        <f t="shared" si="29"/>
        <v>354</v>
      </c>
      <c r="H355" s="18">
        <v>45763</v>
      </c>
      <c r="I355" s="15" t="s">
        <v>24</v>
      </c>
      <c r="J355" s="15">
        <v>9151.2000000000007</v>
      </c>
      <c r="K355" s="15">
        <v>30</v>
      </c>
      <c r="L355" s="15">
        <v>8053.06</v>
      </c>
      <c r="M355" s="16">
        <f t="shared" si="25"/>
        <v>268.43533333333335</v>
      </c>
      <c r="N355" s="15">
        <v>0</v>
      </c>
      <c r="O355" s="16">
        <f t="shared" si="26"/>
        <v>9151.2000000000007</v>
      </c>
      <c r="P355" s="15" t="s">
        <v>18</v>
      </c>
      <c r="Q355" s="15">
        <v>0.06</v>
      </c>
      <c r="R355" s="16">
        <f t="shared" si="27"/>
        <v>549.072</v>
      </c>
      <c r="S355" s="15">
        <v>0</v>
      </c>
      <c r="T355" s="15">
        <v>0</v>
      </c>
      <c r="U355" s="17">
        <f t="shared" si="28"/>
        <v>549.072</v>
      </c>
      <c r="V355" s="12" t="s">
        <v>49</v>
      </c>
      <c r="W355" s="12">
        <v>40</v>
      </c>
    </row>
    <row r="356" spans="4:23" s="12" customFormat="1" ht="30.75" customHeight="1" thickTop="1" thickBot="1" x14ac:dyDescent="0.35">
      <c r="D356" s="10"/>
      <c r="G356" s="13">
        <f t="shared" si="29"/>
        <v>355</v>
      </c>
      <c r="H356" s="18">
        <v>45763</v>
      </c>
      <c r="I356" s="15" t="s">
        <v>31</v>
      </c>
      <c r="J356" s="15">
        <v>5400</v>
      </c>
      <c r="K356" s="15">
        <v>30</v>
      </c>
      <c r="L356" s="15">
        <v>4752</v>
      </c>
      <c r="M356" s="16">
        <f t="shared" si="25"/>
        <v>158.4</v>
      </c>
      <c r="N356" s="15">
        <v>0</v>
      </c>
      <c r="O356" s="16">
        <f t="shared" si="26"/>
        <v>5400</v>
      </c>
      <c r="P356" s="15" t="s">
        <v>18</v>
      </c>
      <c r="Q356" s="15">
        <v>0.06</v>
      </c>
      <c r="R356" s="16">
        <f t="shared" si="27"/>
        <v>324</v>
      </c>
      <c r="S356" s="15">
        <v>0</v>
      </c>
      <c r="T356" s="15">
        <v>0</v>
      </c>
      <c r="U356" s="17">
        <f t="shared" si="28"/>
        <v>324</v>
      </c>
      <c r="V356" s="12" t="s">
        <v>49</v>
      </c>
      <c r="W356" s="12">
        <v>40</v>
      </c>
    </row>
    <row r="357" spans="4:23" s="12" customFormat="1" ht="30.75" customHeight="1" thickTop="1" thickBot="1" x14ac:dyDescent="0.35">
      <c r="D357" s="10"/>
      <c r="G357" s="13">
        <f t="shared" si="29"/>
        <v>356</v>
      </c>
      <c r="H357" s="18">
        <v>45766</v>
      </c>
      <c r="I357" s="15" t="s">
        <v>30</v>
      </c>
      <c r="J357" s="15">
        <v>71280</v>
      </c>
      <c r="K357" s="15">
        <v>250</v>
      </c>
      <c r="L357" s="15">
        <v>56974.1</v>
      </c>
      <c r="M357" s="16">
        <f t="shared" si="25"/>
        <v>227.8964</v>
      </c>
      <c r="N357" s="15">
        <v>0</v>
      </c>
      <c r="O357" s="16">
        <f t="shared" si="26"/>
        <v>71280</v>
      </c>
      <c r="P357" s="15" t="s">
        <v>18</v>
      </c>
      <c r="Q357" s="15">
        <v>0.06</v>
      </c>
      <c r="R357" s="16">
        <f t="shared" si="27"/>
        <v>4276.8</v>
      </c>
      <c r="S357" s="15">
        <v>0</v>
      </c>
      <c r="T357" s="15">
        <v>0</v>
      </c>
      <c r="U357" s="17">
        <f t="shared" si="28"/>
        <v>4276.8</v>
      </c>
      <c r="V357" s="12" t="s">
        <v>49</v>
      </c>
      <c r="W357" s="12">
        <v>41</v>
      </c>
    </row>
    <row r="358" spans="4:23" s="12" customFormat="1" ht="30.75" customHeight="1" thickTop="1" thickBot="1" x14ac:dyDescent="0.35">
      <c r="D358" s="10"/>
      <c r="G358" s="13">
        <f t="shared" si="29"/>
        <v>357</v>
      </c>
      <c r="H358" s="18">
        <v>45766</v>
      </c>
      <c r="I358" s="15" t="s">
        <v>17</v>
      </c>
      <c r="J358" s="15">
        <v>85536</v>
      </c>
      <c r="K358" s="15">
        <v>300</v>
      </c>
      <c r="L358" s="15">
        <v>68368.92</v>
      </c>
      <c r="M358" s="16">
        <f t="shared" si="25"/>
        <v>227.8964</v>
      </c>
      <c r="N358" s="15">
        <v>0</v>
      </c>
      <c r="O358" s="16">
        <f t="shared" si="26"/>
        <v>85536</v>
      </c>
      <c r="P358" s="15" t="s">
        <v>18</v>
      </c>
      <c r="Q358" s="15">
        <v>0.06</v>
      </c>
      <c r="R358" s="16">
        <f t="shared" si="27"/>
        <v>5132.16</v>
      </c>
      <c r="S358" s="15">
        <v>0</v>
      </c>
      <c r="T358" s="15">
        <v>0</v>
      </c>
      <c r="U358" s="17">
        <f t="shared" si="28"/>
        <v>5132.16</v>
      </c>
      <c r="V358" s="12" t="s">
        <v>49</v>
      </c>
      <c r="W358" s="12">
        <v>41</v>
      </c>
    </row>
    <row r="359" spans="4:23" s="12" customFormat="1" ht="30.75" customHeight="1" thickTop="1" thickBot="1" x14ac:dyDescent="0.35">
      <c r="D359" s="10"/>
      <c r="G359" s="13">
        <f t="shared" si="29"/>
        <v>358</v>
      </c>
      <c r="H359" s="18">
        <v>45766</v>
      </c>
      <c r="I359" s="15" t="s">
        <v>35</v>
      </c>
      <c r="J359" s="15">
        <v>7008</v>
      </c>
      <c r="K359" s="15">
        <v>40</v>
      </c>
      <c r="L359" s="15">
        <v>6587.52</v>
      </c>
      <c r="M359" s="16">
        <f t="shared" si="25"/>
        <v>164.68800000000002</v>
      </c>
      <c r="N359" s="15">
        <v>0</v>
      </c>
      <c r="O359" s="16">
        <f t="shared" si="26"/>
        <v>7008</v>
      </c>
      <c r="P359" s="15" t="s">
        <v>18</v>
      </c>
      <c r="Q359" s="15">
        <v>0.06</v>
      </c>
      <c r="R359" s="16">
        <f t="shared" si="27"/>
        <v>420.47999999999996</v>
      </c>
      <c r="S359" s="15">
        <v>0</v>
      </c>
      <c r="T359" s="15">
        <v>0</v>
      </c>
      <c r="U359" s="17">
        <f t="shared" si="28"/>
        <v>420.47999999999996</v>
      </c>
      <c r="V359" s="12" t="s">
        <v>49</v>
      </c>
      <c r="W359" s="12">
        <v>41</v>
      </c>
    </row>
    <row r="360" spans="4:23" s="12" customFormat="1" ht="30.75" customHeight="1" thickTop="1" thickBot="1" x14ac:dyDescent="0.35">
      <c r="D360" s="10"/>
      <c r="G360" s="13">
        <f t="shared" si="29"/>
        <v>359</v>
      </c>
      <c r="H360" s="18">
        <v>45766</v>
      </c>
      <c r="I360" s="15" t="s">
        <v>21</v>
      </c>
      <c r="J360" s="15">
        <v>3348</v>
      </c>
      <c r="K360" s="15">
        <v>15</v>
      </c>
      <c r="L360" s="15">
        <v>3147.12</v>
      </c>
      <c r="M360" s="16">
        <f t="shared" si="25"/>
        <v>209.80799999999999</v>
      </c>
      <c r="N360" s="15">
        <v>0</v>
      </c>
      <c r="O360" s="16">
        <f t="shared" si="26"/>
        <v>3348</v>
      </c>
      <c r="P360" s="15" t="s">
        <v>18</v>
      </c>
      <c r="Q360" s="15">
        <v>0.06</v>
      </c>
      <c r="R360" s="16">
        <f t="shared" si="27"/>
        <v>200.88</v>
      </c>
      <c r="S360" s="15">
        <v>0</v>
      </c>
      <c r="T360" s="15">
        <v>0</v>
      </c>
      <c r="U360" s="17">
        <f t="shared" si="28"/>
        <v>200.88</v>
      </c>
      <c r="V360" s="12" t="s">
        <v>49</v>
      </c>
      <c r="W360" s="12">
        <v>41</v>
      </c>
    </row>
    <row r="361" spans="4:23" s="12" customFormat="1" ht="30.75" customHeight="1" thickTop="1" thickBot="1" x14ac:dyDescent="0.35">
      <c r="D361" s="10"/>
      <c r="G361" s="13">
        <f t="shared" si="29"/>
        <v>360</v>
      </c>
      <c r="H361" s="18">
        <v>45766</v>
      </c>
      <c r="I361" s="15" t="s">
        <v>31</v>
      </c>
      <c r="J361" s="15">
        <v>3600</v>
      </c>
      <c r="K361" s="15">
        <v>20</v>
      </c>
      <c r="L361" s="15">
        <v>3384</v>
      </c>
      <c r="M361" s="16">
        <f t="shared" si="25"/>
        <v>169.2</v>
      </c>
      <c r="N361" s="15">
        <v>0</v>
      </c>
      <c r="O361" s="16">
        <f t="shared" si="26"/>
        <v>3600</v>
      </c>
      <c r="P361" s="15" t="s">
        <v>18</v>
      </c>
      <c r="Q361" s="15">
        <v>0.06</v>
      </c>
      <c r="R361" s="16">
        <f t="shared" si="27"/>
        <v>216</v>
      </c>
      <c r="S361" s="15">
        <v>0</v>
      </c>
      <c r="T361" s="15">
        <v>0</v>
      </c>
      <c r="U361" s="17">
        <f t="shared" si="28"/>
        <v>216</v>
      </c>
      <c r="V361" s="12" t="s">
        <v>49</v>
      </c>
      <c r="W361" s="12">
        <v>41</v>
      </c>
    </row>
    <row r="362" spans="4:23" s="12" customFormat="1" ht="30.75" customHeight="1" thickTop="1" thickBot="1" x14ac:dyDescent="0.35">
      <c r="D362" s="10"/>
      <c r="G362" s="13">
        <f t="shared" si="29"/>
        <v>361</v>
      </c>
      <c r="H362" s="18">
        <v>45768</v>
      </c>
      <c r="I362" s="15" t="s">
        <v>30</v>
      </c>
      <c r="J362" s="15">
        <v>57024</v>
      </c>
      <c r="K362" s="15">
        <v>200</v>
      </c>
      <c r="L362" s="15">
        <v>41627.519999999997</v>
      </c>
      <c r="M362" s="16">
        <f t="shared" si="25"/>
        <v>208.13759999999999</v>
      </c>
      <c r="N362" s="15">
        <v>0</v>
      </c>
      <c r="O362" s="16">
        <f t="shared" si="26"/>
        <v>57024</v>
      </c>
      <c r="P362" s="15" t="s">
        <v>18</v>
      </c>
      <c r="Q362" s="15">
        <v>0.06</v>
      </c>
      <c r="R362" s="16">
        <f t="shared" si="27"/>
        <v>3421.44</v>
      </c>
      <c r="S362" s="15">
        <v>0</v>
      </c>
      <c r="T362" s="15">
        <v>0</v>
      </c>
      <c r="U362" s="17">
        <f t="shared" si="28"/>
        <v>3421.44</v>
      </c>
      <c r="V362" s="12" t="s">
        <v>49</v>
      </c>
      <c r="W362" s="12">
        <v>42</v>
      </c>
    </row>
    <row r="363" spans="4:23" s="12" customFormat="1" ht="30.75" customHeight="1" thickTop="1" thickBot="1" x14ac:dyDescent="0.35">
      <c r="D363" s="10"/>
      <c r="G363" s="13">
        <f t="shared" si="29"/>
        <v>362</v>
      </c>
      <c r="H363" s="18">
        <v>45768</v>
      </c>
      <c r="I363" s="15" t="s">
        <v>17</v>
      </c>
      <c r="J363" s="15">
        <v>85536</v>
      </c>
      <c r="K363" s="15">
        <v>300</v>
      </c>
      <c r="L363" s="15">
        <v>62441.279999999999</v>
      </c>
      <c r="M363" s="16">
        <f t="shared" si="25"/>
        <v>208.13759999999999</v>
      </c>
      <c r="N363" s="15">
        <v>0</v>
      </c>
      <c r="O363" s="16">
        <f t="shared" si="26"/>
        <v>85536</v>
      </c>
      <c r="P363" s="15" t="s">
        <v>18</v>
      </c>
      <c r="Q363" s="15">
        <v>0.06</v>
      </c>
      <c r="R363" s="16">
        <f t="shared" si="27"/>
        <v>5132.16</v>
      </c>
      <c r="S363" s="15">
        <v>0</v>
      </c>
      <c r="T363" s="15">
        <v>0</v>
      </c>
      <c r="U363" s="17">
        <f t="shared" si="28"/>
        <v>5132.16</v>
      </c>
      <c r="V363" s="12" t="s">
        <v>49</v>
      </c>
      <c r="W363" s="12">
        <v>42</v>
      </c>
    </row>
    <row r="364" spans="4:23" s="12" customFormat="1" ht="30.75" customHeight="1" thickTop="1" thickBot="1" x14ac:dyDescent="0.35">
      <c r="D364" s="10"/>
      <c r="G364" s="13">
        <f t="shared" si="29"/>
        <v>363</v>
      </c>
      <c r="H364" s="18">
        <v>45768</v>
      </c>
      <c r="I364" s="15" t="s">
        <v>21</v>
      </c>
      <c r="J364" s="15">
        <v>2232</v>
      </c>
      <c r="K364" s="15">
        <v>10</v>
      </c>
      <c r="L364" s="15">
        <v>2098.08</v>
      </c>
      <c r="M364" s="16">
        <f t="shared" si="25"/>
        <v>209.80799999999999</v>
      </c>
      <c r="N364" s="15">
        <v>0</v>
      </c>
      <c r="O364" s="16">
        <f t="shared" si="26"/>
        <v>2232</v>
      </c>
      <c r="P364" s="15" t="s">
        <v>18</v>
      </c>
      <c r="Q364" s="15">
        <v>0.06</v>
      </c>
      <c r="R364" s="16">
        <f t="shared" si="27"/>
        <v>133.91999999999999</v>
      </c>
      <c r="S364" s="15">
        <v>0</v>
      </c>
      <c r="T364" s="15">
        <v>0</v>
      </c>
      <c r="U364" s="17">
        <f t="shared" si="28"/>
        <v>133.91999999999999</v>
      </c>
      <c r="V364" s="12" t="s">
        <v>49</v>
      </c>
      <c r="W364" s="12">
        <v>42</v>
      </c>
    </row>
    <row r="365" spans="4:23" s="12" customFormat="1" ht="30.75" customHeight="1" thickTop="1" thickBot="1" x14ac:dyDescent="0.35">
      <c r="D365" s="10"/>
      <c r="G365" s="13">
        <f t="shared" si="29"/>
        <v>364</v>
      </c>
      <c r="H365" s="18">
        <v>45768</v>
      </c>
      <c r="I365" s="15" t="s">
        <v>22</v>
      </c>
      <c r="J365" s="15">
        <v>1346.25</v>
      </c>
      <c r="K365" s="15">
        <v>5</v>
      </c>
      <c r="L365" s="15">
        <v>1265.48</v>
      </c>
      <c r="M365" s="16">
        <f t="shared" si="25"/>
        <v>253.096</v>
      </c>
      <c r="N365" s="15">
        <v>0</v>
      </c>
      <c r="O365" s="16">
        <f t="shared" si="26"/>
        <v>1346.25</v>
      </c>
      <c r="P365" s="15" t="s">
        <v>18</v>
      </c>
      <c r="Q365" s="15">
        <v>0.06</v>
      </c>
      <c r="R365" s="16">
        <f t="shared" si="27"/>
        <v>80.774999999999991</v>
      </c>
      <c r="S365" s="15">
        <v>0</v>
      </c>
      <c r="T365" s="15">
        <v>0</v>
      </c>
      <c r="U365" s="17">
        <f t="shared" si="28"/>
        <v>80.774999999999991</v>
      </c>
      <c r="V365" s="12" t="s">
        <v>49</v>
      </c>
      <c r="W365" s="12">
        <v>42</v>
      </c>
    </row>
    <row r="366" spans="4:23" s="12" customFormat="1" ht="30.75" customHeight="1" thickTop="1" thickBot="1" x14ac:dyDescent="0.35">
      <c r="D366" s="10"/>
      <c r="G366" s="13">
        <f t="shared" si="29"/>
        <v>365</v>
      </c>
      <c r="H366" s="18">
        <v>45768</v>
      </c>
      <c r="I366" s="15" t="s">
        <v>23</v>
      </c>
      <c r="J366" s="15">
        <v>45000</v>
      </c>
      <c r="K366" s="15">
        <v>250</v>
      </c>
      <c r="L366" s="15">
        <v>42300</v>
      </c>
      <c r="M366" s="16">
        <f t="shared" si="25"/>
        <v>169.2</v>
      </c>
      <c r="N366" s="15">
        <v>0</v>
      </c>
      <c r="O366" s="16">
        <f t="shared" si="26"/>
        <v>45000</v>
      </c>
      <c r="P366" s="15" t="s">
        <v>18</v>
      </c>
      <c r="Q366" s="15">
        <v>0.06</v>
      </c>
      <c r="R366" s="16">
        <f t="shared" si="27"/>
        <v>2700</v>
      </c>
      <c r="S366" s="15">
        <v>0</v>
      </c>
      <c r="T366" s="15">
        <v>0</v>
      </c>
      <c r="U366" s="17">
        <f t="shared" si="28"/>
        <v>2700</v>
      </c>
      <c r="V366" s="12" t="s">
        <v>49</v>
      </c>
      <c r="W366" s="12">
        <v>42</v>
      </c>
    </row>
    <row r="367" spans="4:23" s="12" customFormat="1" ht="30.75" customHeight="1" thickTop="1" thickBot="1" x14ac:dyDescent="0.35">
      <c r="D367" s="10"/>
      <c r="G367" s="13">
        <f t="shared" si="29"/>
        <v>366</v>
      </c>
      <c r="H367" s="18">
        <v>45768</v>
      </c>
      <c r="I367" s="15" t="s">
        <v>24</v>
      </c>
      <c r="J367" s="15">
        <v>3050.4</v>
      </c>
      <c r="K367" s="15">
        <v>10</v>
      </c>
      <c r="L367" s="15">
        <v>2867.38</v>
      </c>
      <c r="M367" s="16">
        <f t="shared" si="25"/>
        <v>286.738</v>
      </c>
      <c r="N367" s="15">
        <v>0</v>
      </c>
      <c r="O367" s="16">
        <f t="shared" si="26"/>
        <v>3050.4</v>
      </c>
      <c r="P367" s="15" t="s">
        <v>18</v>
      </c>
      <c r="Q367" s="15">
        <v>0.06</v>
      </c>
      <c r="R367" s="16">
        <f t="shared" si="27"/>
        <v>183.024</v>
      </c>
      <c r="S367" s="15">
        <v>0</v>
      </c>
      <c r="T367" s="15">
        <v>0</v>
      </c>
      <c r="U367" s="17">
        <f t="shared" si="28"/>
        <v>183.024</v>
      </c>
      <c r="V367" s="12" t="s">
        <v>49</v>
      </c>
      <c r="W367" s="12">
        <v>42</v>
      </c>
    </row>
    <row r="368" spans="4:23" s="12" customFormat="1" ht="30.75" customHeight="1" thickTop="1" thickBot="1" x14ac:dyDescent="0.35">
      <c r="D368" s="10"/>
      <c r="G368" s="13">
        <f t="shared" si="29"/>
        <v>367</v>
      </c>
      <c r="H368" s="18">
        <v>45768</v>
      </c>
      <c r="I368" s="15" t="s">
        <v>31</v>
      </c>
      <c r="J368" s="15">
        <v>3600</v>
      </c>
      <c r="K368" s="15">
        <v>20</v>
      </c>
      <c r="L368" s="15">
        <v>3384</v>
      </c>
      <c r="M368" s="16">
        <f t="shared" si="25"/>
        <v>169.2</v>
      </c>
      <c r="N368" s="15">
        <v>0</v>
      </c>
      <c r="O368" s="16">
        <f t="shared" si="26"/>
        <v>3600</v>
      </c>
      <c r="P368" s="15" t="s">
        <v>18</v>
      </c>
      <c r="Q368" s="15">
        <v>0.06</v>
      </c>
      <c r="R368" s="16">
        <f t="shared" si="27"/>
        <v>216</v>
      </c>
      <c r="S368" s="15">
        <v>0</v>
      </c>
      <c r="T368" s="15">
        <v>0</v>
      </c>
      <c r="U368" s="17">
        <f t="shared" si="28"/>
        <v>216</v>
      </c>
      <c r="V368" s="12" t="s">
        <v>49</v>
      </c>
      <c r="W368" s="12">
        <v>42</v>
      </c>
    </row>
    <row r="369" spans="4:23" s="12" customFormat="1" ht="30.75" customHeight="1" thickTop="1" thickBot="1" x14ac:dyDescent="0.35">
      <c r="D369" s="10"/>
      <c r="G369" s="13">
        <f t="shared" si="29"/>
        <v>368</v>
      </c>
      <c r="H369" s="18">
        <v>45770</v>
      </c>
      <c r="I369" s="15" t="s">
        <v>32</v>
      </c>
      <c r="J369" s="15">
        <v>15075</v>
      </c>
      <c r="K369" s="15">
        <v>25</v>
      </c>
      <c r="L369" s="15">
        <v>13039.88</v>
      </c>
      <c r="M369" s="16">
        <f t="shared" si="25"/>
        <v>521.59519999999998</v>
      </c>
      <c r="N369" s="15">
        <v>0</v>
      </c>
      <c r="O369" s="16">
        <f t="shared" si="26"/>
        <v>15075</v>
      </c>
      <c r="P369" s="15" t="s">
        <v>33</v>
      </c>
      <c r="Q369" s="15">
        <v>0.01</v>
      </c>
      <c r="R369" s="16">
        <f t="shared" si="27"/>
        <v>150.75</v>
      </c>
      <c r="S369" s="15">
        <v>0</v>
      </c>
      <c r="T369" s="15">
        <v>0</v>
      </c>
      <c r="U369" s="17">
        <f t="shared" si="28"/>
        <v>150.75</v>
      </c>
      <c r="V369" s="12" t="s">
        <v>49</v>
      </c>
      <c r="W369" s="12">
        <v>43</v>
      </c>
    </row>
    <row r="370" spans="4:23" s="12" customFormat="1" ht="30.75" customHeight="1" thickTop="1" thickBot="1" x14ac:dyDescent="0.35">
      <c r="D370" s="10"/>
      <c r="G370" s="13">
        <f t="shared" si="29"/>
        <v>369</v>
      </c>
      <c r="H370" s="18">
        <v>45770</v>
      </c>
      <c r="I370" s="15" t="s">
        <v>30</v>
      </c>
      <c r="J370" s="15">
        <v>28512</v>
      </c>
      <c r="K370" s="15">
        <v>100</v>
      </c>
      <c r="L370" s="15">
        <v>20813.669999999998</v>
      </c>
      <c r="M370" s="16">
        <f t="shared" si="25"/>
        <v>208.13669999999999</v>
      </c>
      <c r="N370" s="15">
        <v>0</v>
      </c>
      <c r="O370" s="16">
        <f t="shared" si="26"/>
        <v>28512</v>
      </c>
      <c r="P370" s="15" t="s">
        <v>18</v>
      </c>
      <c r="Q370" s="15">
        <v>0.06</v>
      </c>
      <c r="R370" s="16">
        <f t="shared" si="27"/>
        <v>1710.72</v>
      </c>
      <c r="S370" s="15">
        <v>0</v>
      </c>
      <c r="T370" s="15">
        <v>0</v>
      </c>
      <c r="U370" s="17">
        <f t="shared" si="28"/>
        <v>1710.72</v>
      </c>
      <c r="V370" s="12" t="s">
        <v>49</v>
      </c>
      <c r="W370" s="12">
        <v>43</v>
      </c>
    </row>
    <row r="371" spans="4:23" s="12" customFormat="1" ht="30.75" customHeight="1" thickTop="1" thickBot="1" x14ac:dyDescent="0.35">
      <c r="D371" s="10"/>
      <c r="G371" s="13">
        <f t="shared" si="29"/>
        <v>370</v>
      </c>
      <c r="H371" s="18">
        <v>45770</v>
      </c>
      <c r="I371" s="15" t="s">
        <v>17</v>
      </c>
      <c r="J371" s="15">
        <v>85536</v>
      </c>
      <c r="K371" s="15">
        <v>300</v>
      </c>
      <c r="L371" s="15">
        <v>62441.279999999999</v>
      </c>
      <c r="M371" s="16">
        <f t="shared" si="25"/>
        <v>208.13759999999999</v>
      </c>
      <c r="N371" s="15">
        <v>0</v>
      </c>
      <c r="O371" s="16">
        <f t="shared" si="26"/>
        <v>85536</v>
      </c>
      <c r="P371" s="15" t="s">
        <v>18</v>
      </c>
      <c r="Q371" s="15">
        <v>0.06</v>
      </c>
      <c r="R371" s="16">
        <f t="shared" si="27"/>
        <v>5132.16</v>
      </c>
      <c r="S371" s="15">
        <v>0</v>
      </c>
      <c r="T371" s="15">
        <v>0</v>
      </c>
      <c r="U371" s="17">
        <f t="shared" si="28"/>
        <v>5132.16</v>
      </c>
      <c r="V371" s="12" t="s">
        <v>49</v>
      </c>
      <c r="W371" s="12">
        <v>43</v>
      </c>
    </row>
    <row r="372" spans="4:23" s="12" customFormat="1" ht="30.75" customHeight="1" thickTop="1" thickBot="1" x14ac:dyDescent="0.35">
      <c r="D372" s="10"/>
      <c r="G372" s="13">
        <f t="shared" si="29"/>
        <v>371</v>
      </c>
      <c r="H372" s="18">
        <v>45770</v>
      </c>
      <c r="I372" s="36" t="s">
        <v>20</v>
      </c>
      <c r="J372" s="15">
        <v>288</v>
      </c>
      <c r="K372" s="15">
        <v>1</v>
      </c>
      <c r="L372" s="15">
        <v>270.72000000000003</v>
      </c>
      <c r="M372" s="16">
        <f t="shared" si="25"/>
        <v>270.72000000000003</v>
      </c>
      <c r="N372" s="15">
        <v>0</v>
      </c>
      <c r="O372" s="16">
        <f t="shared" si="26"/>
        <v>288</v>
      </c>
      <c r="P372" s="15" t="s">
        <v>18</v>
      </c>
      <c r="Q372" s="15">
        <v>0.06</v>
      </c>
      <c r="R372" s="16">
        <f t="shared" si="27"/>
        <v>17.28</v>
      </c>
      <c r="S372" s="15">
        <v>0</v>
      </c>
      <c r="T372" s="15">
        <v>0</v>
      </c>
      <c r="U372" s="17">
        <f t="shared" si="28"/>
        <v>17.28</v>
      </c>
      <c r="V372" s="12" t="s">
        <v>49</v>
      </c>
      <c r="W372" s="12">
        <v>43</v>
      </c>
    </row>
    <row r="373" spans="4:23" s="12" customFormat="1" ht="30.75" customHeight="1" thickTop="1" thickBot="1" x14ac:dyDescent="0.35">
      <c r="D373" s="10"/>
      <c r="G373" s="13">
        <f t="shared" si="29"/>
        <v>372</v>
      </c>
      <c r="H373" s="18">
        <v>45770</v>
      </c>
      <c r="I373" s="15" t="s">
        <v>23</v>
      </c>
      <c r="J373" s="15">
        <v>36000</v>
      </c>
      <c r="K373" s="15">
        <v>200</v>
      </c>
      <c r="L373" s="15">
        <v>33840</v>
      </c>
      <c r="M373" s="16">
        <f t="shared" si="25"/>
        <v>169.2</v>
      </c>
      <c r="N373" s="15">
        <v>0</v>
      </c>
      <c r="O373" s="16">
        <f t="shared" si="26"/>
        <v>36000</v>
      </c>
      <c r="P373" s="15" t="s">
        <v>18</v>
      </c>
      <c r="Q373" s="15">
        <v>0.06</v>
      </c>
      <c r="R373" s="16">
        <f t="shared" si="27"/>
        <v>2160</v>
      </c>
      <c r="S373" s="15">
        <v>-2700</v>
      </c>
      <c r="T373" s="15">
        <v>0</v>
      </c>
      <c r="U373" s="17">
        <f t="shared" si="28"/>
        <v>-540</v>
      </c>
      <c r="V373" s="12" t="s">
        <v>49</v>
      </c>
      <c r="W373" s="12">
        <v>43</v>
      </c>
    </row>
    <row r="374" spans="4:23" s="12" customFormat="1" ht="30.75" customHeight="1" thickTop="1" thickBot="1" x14ac:dyDescent="0.35">
      <c r="D374" s="10"/>
      <c r="G374" s="13">
        <f t="shared" si="29"/>
        <v>373</v>
      </c>
      <c r="H374" s="18">
        <v>45770</v>
      </c>
      <c r="I374" s="15" t="s">
        <v>24</v>
      </c>
      <c r="J374" s="15">
        <v>4575</v>
      </c>
      <c r="K374" s="15">
        <v>15</v>
      </c>
      <c r="L374" s="15">
        <v>4301.0600000000004</v>
      </c>
      <c r="M374" s="16">
        <f t="shared" si="25"/>
        <v>286.73733333333337</v>
      </c>
      <c r="N374" s="15">
        <v>0</v>
      </c>
      <c r="O374" s="16">
        <f t="shared" si="26"/>
        <v>4575</v>
      </c>
      <c r="P374" s="15" t="s">
        <v>18</v>
      </c>
      <c r="Q374" s="15">
        <v>0.06</v>
      </c>
      <c r="R374" s="16">
        <f t="shared" si="27"/>
        <v>274.5</v>
      </c>
      <c r="S374" s="15">
        <v>13200</v>
      </c>
      <c r="T374" s="15">
        <v>0</v>
      </c>
      <c r="U374" s="17">
        <f t="shared" si="28"/>
        <v>13474.5</v>
      </c>
      <c r="V374" s="12" t="s">
        <v>49</v>
      </c>
      <c r="W374" s="12">
        <v>43</v>
      </c>
    </row>
    <row r="375" spans="4:23" s="12" customFormat="1" ht="30.75" customHeight="1" thickTop="1" thickBot="1" x14ac:dyDescent="0.35">
      <c r="D375" s="10"/>
      <c r="G375" s="13">
        <f t="shared" si="29"/>
        <v>374</v>
      </c>
      <c r="H375" s="18">
        <v>45770</v>
      </c>
      <c r="I375" s="15" t="s">
        <v>31</v>
      </c>
      <c r="J375" s="15">
        <v>3600</v>
      </c>
      <c r="K375" s="15">
        <v>20</v>
      </c>
      <c r="L375" s="15">
        <v>3384</v>
      </c>
      <c r="M375" s="16">
        <f t="shared" si="25"/>
        <v>169.2</v>
      </c>
      <c r="N375" s="15">
        <v>0</v>
      </c>
      <c r="O375" s="16">
        <f t="shared" si="26"/>
        <v>3600</v>
      </c>
      <c r="P375" s="15" t="s">
        <v>18</v>
      </c>
      <c r="Q375" s="15">
        <v>0.06</v>
      </c>
      <c r="R375" s="16">
        <f t="shared" si="27"/>
        <v>216</v>
      </c>
      <c r="S375" s="15">
        <v>0</v>
      </c>
      <c r="T375" s="15">
        <v>0</v>
      </c>
      <c r="U375" s="17">
        <f t="shared" si="28"/>
        <v>216</v>
      </c>
      <c r="V375" s="12" t="s">
        <v>49</v>
      </c>
      <c r="W375" s="12">
        <v>43</v>
      </c>
    </row>
    <row r="376" spans="4:23" s="10" customFormat="1" ht="30.75" customHeight="1" thickTop="1" thickBot="1" x14ac:dyDescent="0.35">
      <c r="G376" s="25">
        <f t="shared" si="29"/>
        <v>375</v>
      </c>
      <c r="H376" s="26">
        <v>45770</v>
      </c>
      <c r="I376" s="16" t="s">
        <v>36</v>
      </c>
      <c r="J376" s="16">
        <v>305.04000000000002</v>
      </c>
      <c r="K376" s="16">
        <v>1</v>
      </c>
      <c r="L376" s="16">
        <v>286.74</v>
      </c>
      <c r="M376" s="16">
        <f t="shared" si="25"/>
        <v>286.74</v>
      </c>
      <c r="N376" s="15">
        <v>0</v>
      </c>
      <c r="O376" s="16">
        <f t="shared" si="26"/>
        <v>305.04000000000002</v>
      </c>
      <c r="P376" s="15" t="s">
        <v>18</v>
      </c>
      <c r="Q376" s="15">
        <v>0.06</v>
      </c>
      <c r="R376" s="16">
        <f t="shared" si="27"/>
        <v>18.302400000000002</v>
      </c>
      <c r="S376" s="15">
        <v>0</v>
      </c>
      <c r="T376" s="15">
        <v>0</v>
      </c>
      <c r="U376" s="17">
        <f t="shared" si="28"/>
        <v>18.302400000000002</v>
      </c>
      <c r="V376" s="12" t="s">
        <v>49</v>
      </c>
      <c r="W376" s="12">
        <v>43</v>
      </c>
    </row>
    <row r="377" spans="4:23" s="12" customFormat="1" ht="30.75" customHeight="1" thickTop="1" thickBot="1" x14ac:dyDescent="0.35">
      <c r="D377" s="10"/>
      <c r="G377" s="13">
        <f t="shared" si="29"/>
        <v>376</v>
      </c>
      <c r="H377" s="18">
        <v>45773</v>
      </c>
      <c r="I377" s="15" t="s">
        <v>30</v>
      </c>
      <c r="J377" s="15">
        <v>57024</v>
      </c>
      <c r="K377" s="15">
        <v>200</v>
      </c>
      <c r="L377" s="15">
        <v>41627.519999999997</v>
      </c>
      <c r="M377" s="16">
        <f t="shared" si="25"/>
        <v>208.13759999999999</v>
      </c>
      <c r="N377" s="15">
        <v>0</v>
      </c>
      <c r="O377" s="16">
        <f t="shared" si="26"/>
        <v>57024</v>
      </c>
      <c r="P377" s="15" t="s">
        <v>18</v>
      </c>
      <c r="Q377" s="15">
        <v>0.06</v>
      </c>
      <c r="R377" s="16">
        <f t="shared" si="27"/>
        <v>3421.44</v>
      </c>
      <c r="S377" s="15">
        <v>0</v>
      </c>
      <c r="T377" s="15">
        <v>0</v>
      </c>
      <c r="U377" s="17">
        <f t="shared" si="28"/>
        <v>3421.44</v>
      </c>
      <c r="V377" s="12" t="s">
        <v>50</v>
      </c>
      <c r="W377" s="12">
        <v>44</v>
      </c>
    </row>
    <row r="378" spans="4:23" s="12" customFormat="1" ht="30.75" customHeight="1" thickTop="1" thickBot="1" x14ac:dyDescent="0.35">
      <c r="D378" s="10"/>
      <c r="G378" s="13">
        <f t="shared" si="29"/>
        <v>377</v>
      </c>
      <c r="H378" s="18">
        <v>45773</v>
      </c>
      <c r="I378" s="15" t="s">
        <v>17</v>
      </c>
      <c r="J378" s="15">
        <v>28512</v>
      </c>
      <c r="K378" s="15">
        <v>100</v>
      </c>
      <c r="L378" s="15">
        <v>20813.669999999998</v>
      </c>
      <c r="M378" s="16">
        <f t="shared" si="25"/>
        <v>208.13669999999999</v>
      </c>
      <c r="N378" s="15">
        <v>0</v>
      </c>
      <c r="O378" s="16">
        <f t="shared" si="26"/>
        <v>28512</v>
      </c>
      <c r="P378" s="15" t="s">
        <v>18</v>
      </c>
      <c r="Q378" s="15">
        <v>0.06</v>
      </c>
      <c r="R378" s="16">
        <f t="shared" si="27"/>
        <v>1710.72</v>
      </c>
      <c r="S378" s="15">
        <v>0</v>
      </c>
      <c r="T378" s="15">
        <v>0</v>
      </c>
      <c r="U378" s="17">
        <f t="shared" si="28"/>
        <v>1710.72</v>
      </c>
      <c r="V378" s="12" t="s">
        <v>50</v>
      </c>
      <c r="W378" s="12">
        <v>44</v>
      </c>
    </row>
    <row r="379" spans="4:23" s="12" customFormat="1" ht="30.75" customHeight="1" thickTop="1" thickBot="1" x14ac:dyDescent="0.35">
      <c r="D379" s="10"/>
      <c r="G379" s="13">
        <f t="shared" si="29"/>
        <v>378</v>
      </c>
      <c r="H379" s="18">
        <v>45773</v>
      </c>
      <c r="I379" s="15" t="s">
        <v>21</v>
      </c>
      <c r="J379" s="15">
        <v>2232</v>
      </c>
      <c r="K379" s="15">
        <v>10</v>
      </c>
      <c r="L379" s="15">
        <v>2098.08</v>
      </c>
      <c r="M379" s="16">
        <f t="shared" si="25"/>
        <v>209.80799999999999</v>
      </c>
      <c r="N379" s="15">
        <v>0</v>
      </c>
      <c r="O379" s="16">
        <f t="shared" si="26"/>
        <v>2232</v>
      </c>
      <c r="P379" s="15" t="s">
        <v>18</v>
      </c>
      <c r="Q379" s="15">
        <v>0.06</v>
      </c>
      <c r="R379" s="16">
        <f t="shared" si="27"/>
        <v>133.91999999999999</v>
      </c>
      <c r="S379" s="15">
        <v>0</v>
      </c>
      <c r="T379" s="15">
        <v>0</v>
      </c>
      <c r="U379" s="17">
        <f t="shared" si="28"/>
        <v>133.91999999999999</v>
      </c>
      <c r="V379" s="12" t="s">
        <v>50</v>
      </c>
      <c r="W379" s="12">
        <v>44</v>
      </c>
    </row>
    <row r="380" spans="4:23" s="12" customFormat="1" ht="30.75" customHeight="1" thickTop="1" thickBot="1" x14ac:dyDescent="0.35">
      <c r="D380" s="10"/>
      <c r="G380" s="13">
        <f t="shared" si="29"/>
        <v>379</v>
      </c>
      <c r="H380" s="18">
        <v>45773</v>
      </c>
      <c r="I380" s="15" t="s">
        <v>22</v>
      </c>
      <c r="J380" s="15">
        <v>2692.5</v>
      </c>
      <c r="K380" s="15">
        <v>10</v>
      </c>
      <c r="L380" s="15">
        <v>2230.9499999999998</v>
      </c>
      <c r="M380" s="16">
        <f t="shared" si="25"/>
        <v>223.09499999999997</v>
      </c>
      <c r="N380" s="15">
        <v>0</v>
      </c>
      <c r="O380" s="16">
        <f t="shared" si="26"/>
        <v>2692.5</v>
      </c>
      <c r="P380" s="15" t="s">
        <v>18</v>
      </c>
      <c r="Q380" s="15">
        <v>0.06</v>
      </c>
      <c r="R380" s="16">
        <f t="shared" si="27"/>
        <v>161.54999999999998</v>
      </c>
      <c r="S380" s="15">
        <v>0</v>
      </c>
      <c r="T380" s="15">
        <v>0</v>
      </c>
      <c r="U380" s="17">
        <f t="shared" si="28"/>
        <v>161.54999999999998</v>
      </c>
      <c r="V380" s="12" t="s">
        <v>50</v>
      </c>
      <c r="W380" s="12">
        <v>44</v>
      </c>
    </row>
    <row r="381" spans="4:23" s="12" customFormat="1" ht="30.75" customHeight="1" thickTop="1" thickBot="1" x14ac:dyDescent="0.35">
      <c r="D381" s="10"/>
      <c r="G381" s="13">
        <f t="shared" si="29"/>
        <v>380</v>
      </c>
      <c r="H381" s="18">
        <v>45773</v>
      </c>
      <c r="I381" s="15" t="s">
        <v>23</v>
      </c>
      <c r="J381" s="15">
        <v>27000</v>
      </c>
      <c r="K381" s="15">
        <v>150</v>
      </c>
      <c r="L381" s="15">
        <v>23760</v>
      </c>
      <c r="M381" s="16">
        <f t="shared" si="25"/>
        <v>158.4</v>
      </c>
      <c r="N381" s="15">
        <v>0</v>
      </c>
      <c r="O381" s="16">
        <f t="shared" si="26"/>
        <v>27000</v>
      </c>
      <c r="P381" s="15" t="s">
        <v>18</v>
      </c>
      <c r="Q381" s="15">
        <v>0.06</v>
      </c>
      <c r="R381" s="16">
        <f t="shared" si="27"/>
        <v>1620</v>
      </c>
      <c r="S381" s="15">
        <v>0</v>
      </c>
      <c r="T381" s="15">
        <v>0</v>
      </c>
      <c r="U381" s="17">
        <f t="shared" si="28"/>
        <v>1620</v>
      </c>
      <c r="V381" s="12" t="s">
        <v>50</v>
      </c>
      <c r="W381" s="12">
        <v>44</v>
      </c>
    </row>
    <row r="382" spans="4:23" s="12" customFormat="1" ht="30.75" customHeight="1" thickTop="1" thickBot="1" x14ac:dyDescent="0.35">
      <c r="D382" s="10"/>
      <c r="G382" s="13">
        <f t="shared" si="29"/>
        <v>381</v>
      </c>
      <c r="H382" s="18">
        <v>45773</v>
      </c>
      <c r="I382" s="15" t="s">
        <v>24</v>
      </c>
      <c r="J382" s="15">
        <v>3050.4</v>
      </c>
      <c r="K382" s="15">
        <v>10</v>
      </c>
      <c r="L382" s="15">
        <v>2684.35</v>
      </c>
      <c r="M382" s="16">
        <f t="shared" si="25"/>
        <v>268.435</v>
      </c>
      <c r="N382" s="15">
        <v>0</v>
      </c>
      <c r="O382" s="16">
        <f t="shared" si="26"/>
        <v>3050.4</v>
      </c>
      <c r="P382" s="15" t="s">
        <v>18</v>
      </c>
      <c r="Q382" s="15">
        <v>0.06</v>
      </c>
      <c r="R382" s="16">
        <f t="shared" si="27"/>
        <v>183.024</v>
      </c>
      <c r="S382" s="15">
        <v>0</v>
      </c>
      <c r="T382" s="15">
        <v>0</v>
      </c>
      <c r="U382" s="17">
        <f t="shared" si="28"/>
        <v>183.024</v>
      </c>
      <c r="V382" s="12" t="s">
        <v>50</v>
      </c>
      <c r="W382" s="12">
        <v>44</v>
      </c>
    </row>
    <row r="383" spans="4:23" s="12" customFormat="1" ht="30.75" customHeight="1" thickTop="1" thickBot="1" x14ac:dyDescent="0.35">
      <c r="D383" s="10"/>
      <c r="G383" s="13">
        <f t="shared" si="29"/>
        <v>382</v>
      </c>
      <c r="H383" s="18">
        <v>45773</v>
      </c>
      <c r="I383" s="15" t="s">
        <v>31</v>
      </c>
      <c r="J383" s="15">
        <v>3600</v>
      </c>
      <c r="K383" s="15">
        <v>20</v>
      </c>
      <c r="L383" s="15">
        <v>3166</v>
      </c>
      <c r="M383" s="16">
        <f t="shared" si="25"/>
        <v>158.30000000000001</v>
      </c>
      <c r="N383" s="15">
        <v>0</v>
      </c>
      <c r="O383" s="16">
        <f t="shared" si="26"/>
        <v>3600</v>
      </c>
      <c r="P383" s="15" t="s">
        <v>18</v>
      </c>
      <c r="Q383" s="15">
        <v>0.06</v>
      </c>
      <c r="R383" s="16">
        <f t="shared" si="27"/>
        <v>216</v>
      </c>
      <c r="S383" s="15">
        <v>0</v>
      </c>
      <c r="T383" s="15">
        <v>0</v>
      </c>
      <c r="U383" s="17">
        <f t="shared" si="28"/>
        <v>216</v>
      </c>
      <c r="V383" s="12" t="s">
        <v>50</v>
      </c>
      <c r="W383" s="12">
        <v>44</v>
      </c>
    </row>
    <row r="384" spans="4:23" s="12" customFormat="1" ht="30.75" customHeight="1" thickTop="1" thickBot="1" x14ac:dyDescent="0.35">
      <c r="D384" s="10"/>
      <c r="G384" s="13">
        <f t="shared" si="29"/>
        <v>383</v>
      </c>
      <c r="H384" s="18">
        <v>45773</v>
      </c>
      <c r="I384" s="15" t="s">
        <v>25</v>
      </c>
      <c r="J384" s="15">
        <v>193024.32</v>
      </c>
      <c r="K384" s="15">
        <v>804</v>
      </c>
      <c r="L384" s="15">
        <v>152933.17000000001</v>
      </c>
      <c r="M384" s="16">
        <f t="shared" si="25"/>
        <v>190.21538557213933</v>
      </c>
      <c r="N384" s="15">
        <v>0</v>
      </c>
      <c r="O384" s="16">
        <f t="shared" si="26"/>
        <v>193024.32</v>
      </c>
      <c r="P384" s="15" t="s">
        <v>26</v>
      </c>
      <c r="Q384" s="15">
        <v>0.02</v>
      </c>
      <c r="R384" s="16">
        <f t="shared" si="27"/>
        <v>3860.4864000000002</v>
      </c>
      <c r="S384" s="15">
        <v>0</v>
      </c>
      <c r="T384" s="15">
        <v>0</v>
      </c>
      <c r="U384" s="17">
        <f t="shared" si="28"/>
        <v>3860.4864000000002</v>
      </c>
      <c r="V384" s="12" t="s">
        <v>50</v>
      </c>
      <c r="W384" s="12">
        <v>44</v>
      </c>
    </row>
    <row r="385" spans="4:23" s="12" customFormat="1" ht="30.75" customHeight="1" thickTop="1" thickBot="1" x14ac:dyDescent="0.35">
      <c r="D385" s="10"/>
      <c r="G385" s="13">
        <f t="shared" si="29"/>
        <v>384</v>
      </c>
      <c r="H385" s="18">
        <v>45775</v>
      </c>
      <c r="I385" s="15" t="s">
        <v>30</v>
      </c>
      <c r="J385" s="15">
        <v>49896</v>
      </c>
      <c r="K385" s="15">
        <v>175</v>
      </c>
      <c r="L385" s="15">
        <v>36424.080000000002</v>
      </c>
      <c r="M385" s="16">
        <f t="shared" si="25"/>
        <v>208.13760000000002</v>
      </c>
      <c r="N385" s="15">
        <v>0</v>
      </c>
      <c r="O385" s="16">
        <f t="shared" si="26"/>
        <v>49896</v>
      </c>
      <c r="P385" s="15" t="s">
        <v>18</v>
      </c>
      <c r="Q385" s="15">
        <v>0.06</v>
      </c>
      <c r="R385" s="16">
        <f t="shared" si="27"/>
        <v>2993.7599999999998</v>
      </c>
      <c r="S385" s="15">
        <v>0</v>
      </c>
      <c r="T385" s="15">
        <v>0</v>
      </c>
      <c r="U385" s="17">
        <f t="shared" si="28"/>
        <v>2993.7599999999998</v>
      </c>
      <c r="V385" s="12" t="s">
        <v>50</v>
      </c>
      <c r="W385" s="12">
        <v>45</v>
      </c>
    </row>
    <row r="386" spans="4:23" s="12" customFormat="1" ht="30.75" customHeight="1" thickTop="1" thickBot="1" x14ac:dyDescent="0.35">
      <c r="D386" s="10"/>
      <c r="G386" s="13">
        <f t="shared" si="29"/>
        <v>385</v>
      </c>
      <c r="H386" s="18">
        <v>45775</v>
      </c>
      <c r="I386" s="15" t="s">
        <v>17</v>
      </c>
      <c r="J386" s="15">
        <v>61300.800000000003</v>
      </c>
      <c r="K386" s="15">
        <v>215</v>
      </c>
      <c r="L386" s="15">
        <v>44749.58</v>
      </c>
      <c r="M386" s="16">
        <f t="shared" ref="M386:M449" si="30">IFERROR(L386/K386,"")</f>
        <v>208.13758139534883</v>
      </c>
      <c r="N386" s="15">
        <v>0</v>
      </c>
      <c r="O386" s="16">
        <f t="shared" ref="O386:O449" si="31">J386-N386</f>
        <v>61300.800000000003</v>
      </c>
      <c r="P386" s="15" t="s">
        <v>18</v>
      </c>
      <c r="Q386" s="15">
        <v>0.06</v>
      </c>
      <c r="R386" s="16">
        <f t="shared" ref="R386:R449" si="32">J386*Q386</f>
        <v>3678.0480000000002</v>
      </c>
      <c r="S386" s="15">
        <v>0</v>
      </c>
      <c r="T386" s="15">
        <v>0</v>
      </c>
      <c r="U386" s="17">
        <f t="shared" ref="U386:U449" si="33">T386+S386+R386</f>
        <v>3678.0480000000002</v>
      </c>
      <c r="V386" s="12" t="s">
        <v>50</v>
      </c>
      <c r="W386" s="12">
        <v>45</v>
      </c>
    </row>
    <row r="387" spans="4:23" s="12" customFormat="1" ht="30.75" customHeight="1" thickTop="1" thickBot="1" x14ac:dyDescent="0.35">
      <c r="D387" s="10"/>
      <c r="G387" s="13">
        <f t="shared" si="29"/>
        <v>386</v>
      </c>
      <c r="H387" s="18">
        <v>45775</v>
      </c>
      <c r="I387" s="36" t="s">
        <v>20</v>
      </c>
      <c r="J387" s="15">
        <v>576</v>
      </c>
      <c r="K387" s="15">
        <v>2</v>
      </c>
      <c r="L387" s="15">
        <v>541.44000000000005</v>
      </c>
      <c r="M387" s="16">
        <f t="shared" si="30"/>
        <v>270.72000000000003</v>
      </c>
      <c r="N387" s="15">
        <v>0</v>
      </c>
      <c r="O387" s="16">
        <f t="shared" si="31"/>
        <v>576</v>
      </c>
      <c r="P387" s="15" t="s">
        <v>18</v>
      </c>
      <c r="Q387" s="15">
        <v>0.06</v>
      </c>
      <c r="R387" s="16">
        <f t="shared" si="32"/>
        <v>34.56</v>
      </c>
      <c r="S387" s="15">
        <v>0</v>
      </c>
      <c r="T387" s="15">
        <v>0</v>
      </c>
      <c r="U387" s="17">
        <f t="shared" si="33"/>
        <v>34.56</v>
      </c>
      <c r="V387" s="12" t="s">
        <v>50</v>
      </c>
      <c r="W387" s="12">
        <v>45</v>
      </c>
    </row>
    <row r="388" spans="4:23" s="12" customFormat="1" ht="30.75" customHeight="1" thickTop="1" thickBot="1" x14ac:dyDescent="0.35">
      <c r="D388" s="10"/>
      <c r="G388" s="13">
        <f t="shared" ref="G388:G451" si="34">G387+1</f>
        <v>387</v>
      </c>
      <c r="H388" s="18">
        <v>45775</v>
      </c>
      <c r="I388" s="15" t="s">
        <v>21</v>
      </c>
      <c r="J388" s="15">
        <v>2232</v>
      </c>
      <c r="K388" s="15">
        <v>10</v>
      </c>
      <c r="L388" s="15">
        <v>2098.08</v>
      </c>
      <c r="M388" s="16">
        <f t="shared" si="30"/>
        <v>209.80799999999999</v>
      </c>
      <c r="N388" s="15">
        <v>0</v>
      </c>
      <c r="O388" s="16">
        <f t="shared" si="31"/>
        <v>2232</v>
      </c>
      <c r="P388" s="15" t="s">
        <v>18</v>
      </c>
      <c r="Q388" s="15">
        <v>0.06</v>
      </c>
      <c r="R388" s="16">
        <f t="shared" si="32"/>
        <v>133.91999999999999</v>
      </c>
      <c r="S388" s="15">
        <v>0</v>
      </c>
      <c r="T388" s="15">
        <v>0</v>
      </c>
      <c r="U388" s="17">
        <f t="shared" si="33"/>
        <v>133.91999999999999</v>
      </c>
      <c r="V388" s="12" t="s">
        <v>50</v>
      </c>
      <c r="W388" s="12">
        <v>45</v>
      </c>
    </row>
    <row r="389" spans="4:23" s="12" customFormat="1" ht="30.75" customHeight="1" thickTop="1" thickBot="1" x14ac:dyDescent="0.35">
      <c r="D389" s="10"/>
      <c r="G389" s="13">
        <f t="shared" si="34"/>
        <v>388</v>
      </c>
      <c r="H389" s="18">
        <v>45775</v>
      </c>
      <c r="I389" s="15" t="s">
        <v>22</v>
      </c>
      <c r="J389" s="15">
        <v>4038.75</v>
      </c>
      <c r="K389" s="15">
        <v>15</v>
      </c>
      <c r="L389" s="15">
        <v>3796.43</v>
      </c>
      <c r="M389" s="16">
        <f t="shared" si="30"/>
        <v>253.09533333333331</v>
      </c>
      <c r="N389" s="15">
        <v>0</v>
      </c>
      <c r="O389" s="16">
        <f t="shared" si="31"/>
        <v>4038.75</v>
      </c>
      <c r="P389" s="15" t="s">
        <v>18</v>
      </c>
      <c r="Q389" s="15">
        <v>0.06</v>
      </c>
      <c r="R389" s="16">
        <f t="shared" si="32"/>
        <v>242.32499999999999</v>
      </c>
      <c r="S389" s="15">
        <v>0</v>
      </c>
      <c r="T389" s="15">
        <v>0</v>
      </c>
      <c r="U389" s="17">
        <f t="shared" si="33"/>
        <v>242.32499999999999</v>
      </c>
      <c r="V389" s="12" t="s">
        <v>50</v>
      </c>
      <c r="W389" s="12">
        <v>45</v>
      </c>
    </row>
    <row r="390" spans="4:23" s="12" customFormat="1" ht="30.75" customHeight="1" thickTop="1" thickBot="1" x14ac:dyDescent="0.35">
      <c r="D390" s="10"/>
      <c r="G390" s="13">
        <f t="shared" si="34"/>
        <v>389</v>
      </c>
      <c r="H390" s="18">
        <v>45775</v>
      </c>
      <c r="I390" s="15" t="s">
        <v>23</v>
      </c>
      <c r="J390" s="15">
        <v>57960</v>
      </c>
      <c r="K390" s="15">
        <v>322</v>
      </c>
      <c r="L390" s="15">
        <v>51004.800000000003</v>
      </c>
      <c r="M390" s="16">
        <f t="shared" si="30"/>
        <v>158.4</v>
      </c>
      <c r="N390" s="15">
        <v>0</v>
      </c>
      <c r="O390" s="16">
        <f t="shared" si="31"/>
        <v>57960</v>
      </c>
      <c r="P390" s="15" t="s">
        <v>18</v>
      </c>
      <c r="Q390" s="15">
        <v>0.06</v>
      </c>
      <c r="R390" s="16">
        <f t="shared" si="32"/>
        <v>3477.6</v>
      </c>
      <c r="S390" s="15">
        <v>0</v>
      </c>
      <c r="T390" s="15">
        <v>0</v>
      </c>
      <c r="U390" s="17">
        <f t="shared" si="33"/>
        <v>3477.6</v>
      </c>
      <c r="V390" s="12" t="s">
        <v>50</v>
      </c>
      <c r="W390" s="12">
        <v>45</v>
      </c>
    </row>
    <row r="391" spans="4:23" s="12" customFormat="1" ht="30.75" customHeight="1" thickTop="1" thickBot="1" x14ac:dyDescent="0.35">
      <c r="D391" s="10"/>
      <c r="G391" s="13">
        <f t="shared" si="34"/>
        <v>390</v>
      </c>
      <c r="H391" s="18">
        <v>45775</v>
      </c>
      <c r="I391" s="15" t="s">
        <v>24</v>
      </c>
      <c r="J391" s="15">
        <v>7626</v>
      </c>
      <c r="K391" s="15">
        <v>25</v>
      </c>
      <c r="L391" s="15">
        <v>6710.88</v>
      </c>
      <c r="M391" s="16">
        <f t="shared" si="30"/>
        <v>268.43520000000001</v>
      </c>
      <c r="N391" s="15">
        <v>0</v>
      </c>
      <c r="O391" s="16">
        <f t="shared" si="31"/>
        <v>7626</v>
      </c>
      <c r="P391" s="15" t="s">
        <v>18</v>
      </c>
      <c r="Q391" s="15">
        <v>0.06</v>
      </c>
      <c r="R391" s="16">
        <f t="shared" si="32"/>
        <v>457.56</v>
      </c>
      <c r="S391" s="15">
        <v>0</v>
      </c>
      <c r="T391" s="15">
        <v>0</v>
      </c>
      <c r="U391" s="17">
        <f t="shared" si="33"/>
        <v>457.56</v>
      </c>
      <c r="V391" s="12" t="s">
        <v>50</v>
      </c>
      <c r="W391" s="12">
        <v>45</v>
      </c>
    </row>
    <row r="392" spans="4:23" s="12" customFormat="1" ht="30.75" customHeight="1" thickTop="1" thickBot="1" x14ac:dyDescent="0.35">
      <c r="D392" s="10"/>
      <c r="G392" s="13">
        <f t="shared" si="34"/>
        <v>391</v>
      </c>
      <c r="H392" s="18">
        <v>45775</v>
      </c>
      <c r="I392" s="15" t="s">
        <v>31</v>
      </c>
      <c r="J392" s="15">
        <v>7200</v>
      </c>
      <c r="K392" s="15">
        <v>40</v>
      </c>
      <c r="L392" s="15">
        <v>6336</v>
      </c>
      <c r="M392" s="16">
        <f t="shared" si="30"/>
        <v>158.4</v>
      </c>
      <c r="N392" s="15">
        <v>0</v>
      </c>
      <c r="O392" s="16">
        <f t="shared" si="31"/>
        <v>7200</v>
      </c>
      <c r="P392" s="15" t="s">
        <v>18</v>
      </c>
      <c r="Q392" s="15">
        <v>0.06</v>
      </c>
      <c r="R392" s="16">
        <f t="shared" si="32"/>
        <v>432</v>
      </c>
      <c r="S392" s="15">
        <v>0</v>
      </c>
      <c r="T392" s="15">
        <v>0</v>
      </c>
      <c r="U392" s="17">
        <f t="shared" si="33"/>
        <v>432</v>
      </c>
      <c r="V392" s="12" t="s">
        <v>50</v>
      </c>
      <c r="W392" s="12">
        <v>45</v>
      </c>
    </row>
    <row r="393" spans="4:23" s="12" customFormat="1" ht="30.75" customHeight="1" thickTop="1" thickBot="1" x14ac:dyDescent="0.35">
      <c r="D393" s="10"/>
      <c r="G393" s="13">
        <f t="shared" si="34"/>
        <v>392</v>
      </c>
      <c r="H393" s="18">
        <v>45776</v>
      </c>
      <c r="I393" s="15" t="s">
        <v>30</v>
      </c>
      <c r="J393" s="15">
        <v>49896</v>
      </c>
      <c r="K393" s="15">
        <v>175</v>
      </c>
      <c r="L393" s="15">
        <v>36424.080000000002</v>
      </c>
      <c r="M393" s="16">
        <f t="shared" si="30"/>
        <v>208.13760000000002</v>
      </c>
      <c r="N393" s="15">
        <v>0</v>
      </c>
      <c r="O393" s="16">
        <f t="shared" si="31"/>
        <v>49896</v>
      </c>
      <c r="P393" s="15" t="s">
        <v>18</v>
      </c>
      <c r="Q393" s="15">
        <v>0.06</v>
      </c>
      <c r="R393" s="16">
        <f t="shared" si="32"/>
        <v>2993.7599999999998</v>
      </c>
      <c r="S393" s="15">
        <v>0</v>
      </c>
      <c r="T393" s="15">
        <v>0</v>
      </c>
      <c r="U393" s="17">
        <f t="shared" si="33"/>
        <v>2993.7599999999998</v>
      </c>
      <c r="V393" s="12" t="s">
        <v>50</v>
      </c>
      <c r="W393" s="12">
        <v>46</v>
      </c>
    </row>
    <row r="394" spans="4:23" s="12" customFormat="1" ht="30.75" customHeight="1" thickTop="1" thickBot="1" x14ac:dyDescent="0.35">
      <c r="D394" s="10"/>
      <c r="G394" s="13">
        <f t="shared" si="34"/>
        <v>393</v>
      </c>
      <c r="H394" s="18">
        <v>45776</v>
      </c>
      <c r="I394" s="15" t="s">
        <v>17</v>
      </c>
      <c r="J394" s="15">
        <v>54172.800000000003</v>
      </c>
      <c r="K394" s="15">
        <v>190</v>
      </c>
      <c r="L394" s="15">
        <v>39546.14</v>
      </c>
      <c r="M394" s="16">
        <f t="shared" si="30"/>
        <v>208.13757894736841</v>
      </c>
      <c r="N394" s="15">
        <v>0</v>
      </c>
      <c r="O394" s="16">
        <f t="shared" si="31"/>
        <v>54172.800000000003</v>
      </c>
      <c r="P394" s="15" t="s">
        <v>18</v>
      </c>
      <c r="Q394" s="15">
        <v>0.06</v>
      </c>
      <c r="R394" s="16">
        <f t="shared" si="32"/>
        <v>3250.3679999999999</v>
      </c>
      <c r="S394" s="15">
        <v>0</v>
      </c>
      <c r="T394" s="15">
        <v>0</v>
      </c>
      <c r="U394" s="17">
        <f t="shared" si="33"/>
        <v>3250.3679999999999</v>
      </c>
      <c r="V394" s="12" t="s">
        <v>50</v>
      </c>
      <c r="W394" s="12">
        <v>46</v>
      </c>
    </row>
    <row r="395" spans="4:23" s="12" customFormat="1" ht="30.75" customHeight="1" thickTop="1" thickBot="1" x14ac:dyDescent="0.35">
      <c r="D395" s="10"/>
      <c r="G395" s="13">
        <f t="shared" si="34"/>
        <v>394</v>
      </c>
      <c r="H395" s="18">
        <v>45776</v>
      </c>
      <c r="I395" s="15" t="s">
        <v>23</v>
      </c>
      <c r="J395" s="15">
        <v>36000</v>
      </c>
      <c r="K395" s="15">
        <v>200</v>
      </c>
      <c r="L395" s="15">
        <v>31680</v>
      </c>
      <c r="M395" s="16">
        <f t="shared" si="30"/>
        <v>158.4</v>
      </c>
      <c r="N395" s="15">
        <v>0</v>
      </c>
      <c r="O395" s="16">
        <f t="shared" si="31"/>
        <v>36000</v>
      </c>
      <c r="P395" s="15" t="s">
        <v>18</v>
      </c>
      <c r="Q395" s="15">
        <v>0.06</v>
      </c>
      <c r="R395" s="16">
        <f t="shared" si="32"/>
        <v>2160</v>
      </c>
      <c r="S395" s="15">
        <v>0</v>
      </c>
      <c r="T395" s="15">
        <v>0</v>
      </c>
      <c r="U395" s="17">
        <f t="shared" si="33"/>
        <v>2160</v>
      </c>
      <c r="V395" s="12" t="s">
        <v>50</v>
      </c>
      <c r="W395" s="12">
        <v>46</v>
      </c>
    </row>
    <row r="396" spans="4:23" s="12" customFormat="1" ht="30.75" customHeight="1" thickTop="1" thickBot="1" x14ac:dyDescent="0.35">
      <c r="D396" s="10"/>
      <c r="G396" s="13">
        <f t="shared" si="34"/>
        <v>395</v>
      </c>
      <c r="H396" s="18">
        <v>45776</v>
      </c>
      <c r="I396" s="15" t="s">
        <v>24</v>
      </c>
      <c r="J396" s="15">
        <v>6100.8</v>
      </c>
      <c r="K396" s="15">
        <v>20</v>
      </c>
      <c r="L396" s="15">
        <v>5368.7</v>
      </c>
      <c r="M396" s="16">
        <f t="shared" si="30"/>
        <v>268.435</v>
      </c>
      <c r="N396" s="15">
        <v>0</v>
      </c>
      <c r="O396" s="16">
        <f t="shared" si="31"/>
        <v>6100.8</v>
      </c>
      <c r="P396" s="15" t="s">
        <v>18</v>
      </c>
      <c r="Q396" s="15">
        <v>0.06</v>
      </c>
      <c r="R396" s="16">
        <f t="shared" si="32"/>
        <v>366.048</v>
      </c>
      <c r="S396" s="15">
        <v>0</v>
      </c>
      <c r="T396" s="15">
        <v>0</v>
      </c>
      <c r="U396" s="17">
        <f t="shared" si="33"/>
        <v>366.048</v>
      </c>
      <c r="V396" s="12" t="s">
        <v>50</v>
      </c>
      <c r="W396" s="12">
        <v>46</v>
      </c>
    </row>
    <row r="397" spans="4:23" s="12" customFormat="1" ht="30.75" customHeight="1" thickTop="1" thickBot="1" x14ac:dyDescent="0.35">
      <c r="D397" s="10"/>
      <c r="G397" s="13">
        <f t="shared" si="34"/>
        <v>396</v>
      </c>
      <c r="H397" s="18">
        <v>45776</v>
      </c>
      <c r="I397" s="15" t="s">
        <v>31</v>
      </c>
      <c r="J397" s="15">
        <v>5400</v>
      </c>
      <c r="K397" s="15">
        <v>30</v>
      </c>
      <c r="L397" s="15">
        <v>4752</v>
      </c>
      <c r="M397" s="16">
        <f t="shared" si="30"/>
        <v>158.4</v>
      </c>
      <c r="N397" s="15">
        <v>0</v>
      </c>
      <c r="O397" s="16">
        <f t="shared" si="31"/>
        <v>5400</v>
      </c>
      <c r="P397" s="15" t="s">
        <v>18</v>
      </c>
      <c r="Q397" s="15">
        <v>0.06</v>
      </c>
      <c r="R397" s="16">
        <f t="shared" si="32"/>
        <v>324</v>
      </c>
      <c r="S397" s="15">
        <v>0</v>
      </c>
      <c r="T397" s="15">
        <v>0</v>
      </c>
      <c r="U397" s="17">
        <f t="shared" si="33"/>
        <v>324</v>
      </c>
      <c r="V397" s="12" t="s">
        <v>50</v>
      </c>
      <c r="W397" s="12">
        <v>46</v>
      </c>
    </row>
    <row r="398" spans="4:23" s="12" customFormat="1" ht="30.75" customHeight="1" thickTop="1" thickBot="1" x14ac:dyDescent="0.35">
      <c r="D398" s="10"/>
      <c r="G398" s="13">
        <f t="shared" si="34"/>
        <v>397</v>
      </c>
      <c r="H398" s="18">
        <v>45777</v>
      </c>
      <c r="I398" s="15" t="s">
        <v>17</v>
      </c>
      <c r="J398" s="15">
        <v>28512</v>
      </c>
      <c r="K398" s="15">
        <v>100</v>
      </c>
      <c r="L398" s="15">
        <v>20813.759999999998</v>
      </c>
      <c r="M398" s="16">
        <f t="shared" si="30"/>
        <v>208.13759999999999</v>
      </c>
      <c r="N398" s="15">
        <v>0</v>
      </c>
      <c r="O398" s="16">
        <f t="shared" si="31"/>
        <v>28512</v>
      </c>
      <c r="P398" s="15" t="s">
        <v>18</v>
      </c>
      <c r="Q398" s="15">
        <v>0.06</v>
      </c>
      <c r="R398" s="16">
        <f t="shared" si="32"/>
        <v>1710.72</v>
      </c>
      <c r="S398" s="15">
        <v>0</v>
      </c>
      <c r="T398" s="15">
        <v>0</v>
      </c>
      <c r="U398" s="17">
        <f t="shared" si="33"/>
        <v>1710.72</v>
      </c>
      <c r="V398" s="12" t="s">
        <v>50</v>
      </c>
      <c r="W398" s="12">
        <v>47</v>
      </c>
    </row>
    <row r="399" spans="4:23" s="12" customFormat="1" ht="30.75" customHeight="1" thickTop="1" thickBot="1" x14ac:dyDescent="0.35">
      <c r="D399" s="10"/>
      <c r="G399" s="13">
        <f t="shared" si="34"/>
        <v>398</v>
      </c>
      <c r="H399" s="18">
        <v>45777</v>
      </c>
      <c r="I399" s="15" t="s">
        <v>35</v>
      </c>
      <c r="J399" s="15">
        <v>2628</v>
      </c>
      <c r="K399" s="15">
        <v>15</v>
      </c>
      <c r="L399" s="15">
        <v>2470.3200000000002</v>
      </c>
      <c r="M399" s="16">
        <f t="shared" si="30"/>
        <v>164.68800000000002</v>
      </c>
      <c r="N399" s="15">
        <v>0</v>
      </c>
      <c r="O399" s="16">
        <f t="shared" si="31"/>
        <v>2628</v>
      </c>
      <c r="P399" s="15" t="s">
        <v>18</v>
      </c>
      <c r="Q399" s="15">
        <v>0.06</v>
      </c>
      <c r="R399" s="16">
        <f t="shared" si="32"/>
        <v>157.68</v>
      </c>
      <c r="S399" s="15">
        <v>0</v>
      </c>
      <c r="T399" s="15">
        <v>0</v>
      </c>
      <c r="U399" s="17">
        <f t="shared" si="33"/>
        <v>157.68</v>
      </c>
      <c r="V399" s="12" t="s">
        <v>50</v>
      </c>
      <c r="W399" s="12">
        <v>47</v>
      </c>
    </row>
    <row r="400" spans="4:23" s="12" customFormat="1" ht="30.75" customHeight="1" thickTop="1" thickBot="1" x14ac:dyDescent="0.35">
      <c r="D400" s="10"/>
      <c r="G400" s="13">
        <f t="shared" si="34"/>
        <v>399</v>
      </c>
      <c r="H400" s="18">
        <v>45780</v>
      </c>
      <c r="I400" s="15" t="s">
        <v>30</v>
      </c>
      <c r="J400" s="15">
        <v>44193.599999999999</v>
      </c>
      <c r="K400" s="15">
        <v>155</v>
      </c>
      <c r="L400" s="15">
        <v>32261.33</v>
      </c>
      <c r="M400" s="16">
        <f t="shared" si="30"/>
        <v>208.13761290322583</v>
      </c>
      <c r="N400" s="15">
        <v>0</v>
      </c>
      <c r="O400" s="16">
        <f t="shared" si="31"/>
        <v>44193.599999999999</v>
      </c>
      <c r="P400" s="15" t="s">
        <v>18</v>
      </c>
      <c r="Q400" s="15">
        <v>0.06</v>
      </c>
      <c r="R400" s="16">
        <f t="shared" si="32"/>
        <v>2651.616</v>
      </c>
      <c r="S400" s="15">
        <v>0</v>
      </c>
      <c r="T400" s="15">
        <v>0</v>
      </c>
      <c r="U400" s="17">
        <f t="shared" si="33"/>
        <v>2651.616</v>
      </c>
      <c r="V400" s="12" t="s">
        <v>50</v>
      </c>
      <c r="W400" s="12">
        <v>48</v>
      </c>
    </row>
    <row r="401" spans="4:23" s="12" customFormat="1" ht="30.75" customHeight="1" thickTop="1" thickBot="1" x14ac:dyDescent="0.35">
      <c r="D401" s="10"/>
      <c r="G401" s="13">
        <f t="shared" si="34"/>
        <v>400</v>
      </c>
      <c r="H401" s="18">
        <v>45780</v>
      </c>
      <c r="I401" s="15" t="s">
        <v>17</v>
      </c>
      <c r="J401" s="15">
        <v>75556.800000000003</v>
      </c>
      <c r="K401" s="15">
        <v>265</v>
      </c>
      <c r="L401" s="15">
        <v>55156.46</v>
      </c>
      <c r="M401" s="16">
        <f t="shared" si="30"/>
        <v>208.13758490566036</v>
      </c>
      <c r="N401" s="15">
        <v>0</v>
      </c>
      <c r="O401" s="16">
        <f t="shared" si="31"/>
        <v>75556.800000000003</v>
      </c>
      <c r="P401" s="15" t="s">
        <v>18</v>
      </c>
      <c r="Q401" s="15">
        <v>0.06</v>
      </c>
      <c r="R401" s="16">
        <f t="shared" si="32"/>
        <v>4533.4080000000004</v>
      </c>
      <c r="S401" s="15">
        <v>0</v>
      </c>
      <c r="T401" s="15">
        <v>0</v>
      </c>
      <c r="U401" s="17">
        <f t="shared" si="33"/>
        <v>4533.4080000000004</v>
      </c>
      <c r="V401" s="12" t="s">
        <v>50</v>
      </c>
      <c r="W401" s="12">
        <v>48</v>
      </c>
    </row>
    <row r="402" spans="4:23" s="12" customFormat="1" ht="30.75" customHeight="1" thickTop="1" thickBot="1" x14ac:dyDescent="0.35">
      <c r="D402" s="10"/>
      <c r="G402" s="13">
        <f t="shared" si="34"/>
        <v>401</v>
      </c>
      <c r="H402" s="18">
        <v>45780</v>
      </c>
      <c r="I402" s="15" t="s">
        <v>35</v>
      </c>
      <c r="J402" s="15">
        <v>3504</v>
      </c>
      <c r="K402" s="15">
        <v>20</v>
      </c>
      <c r="L402" s="15">
        <v>3293.76</v>
      </c>
      <c r="M402" s="16">
        <f t="shared" si="30"/>
        <v>164.68800000000002</v>
      </c>
      <c r="N402" s="15">
        <v>0</v>
      </c>
      <c r="O402" s="16">
        <f t="shared" si="31"/>
        <v>3504</v>
      </c>
      <c r="P402" s="15" t="s">
        <v>18</v>
      </c>
      <c r="Q402" s="15">
        <v>0.06</v>
      </c>
      <c r="R402" s="16">
        <f t="shared" si="32"/>
        <v>210.23999999999998</v>
      </c>
      <c r="S402" s="15">
        <v>0</v>
      </c>
      <c r="T402" s="15">
        <v>0</v>
      </c>
      <c r="U402" s="17">
        <f t="shared" si="33"/>
        <v>210.23999999999998</v>
      </c>
      <c r="V402" s="12" t="s">
        <v>50</v>
      </c>
      <c r="W402" s="12">
        <v>48</v>
      </c>
    </row>
    <row r="403" spans="4:23" s="12" customFormat="1" ht="30.75" customHeight="1" thickTop="1" thickBot="1" x14ac:dyDescent="0.35">
      <c r="D403" s="10"/>
      <c r="G403" s="13">
        <f t="shared" si="34"/>
        <v>402</v>
      </c>
      <c r="H403" s="18">
        <v>45780</v>
      </c>
      <c r="I403" s="15" t="s">
        <v>21</v>
      </c>
      <c r="J403" s="15">
        <v>2678.4</v>
      </c>
      <c r="K403" s="15">
        <v>12</v>
      </c>
      <c r="L403" s="15">
        <v>2517.6999999999998</v>
      </c>
      <c r="M403" s="16">
        <f t="shared" si="30"/>
        <v>209.80833333333331</v>
      </c>
      <c r="N403" s="15">
        <v>0</v>
      </c>
      <c r="O403" s="16">
        <f t="shared" si="31"/>
        <v>2678.4</v>
      </c>
      <c r="P403" s="15" t="s">
        <v>18</v>
      </c>
      <c r="Q403" s="15">
        <v>0.06</v>
      </c>
      <c r="R403" s="16">
        <f t="shared" si="32"/>
        <v>160.70400000000001</v>
      </c>
      <c r="S403" s="15">
        <v>0</v>
      </c>
      <c r="T403" s="15">
        <v>0</v>
      </c>
      <c r="U403" s="17">
        <f t="shared" si="33"/>
        <v>160.70400000000001</v>
      </c>
      <c r="V403" s="12" t="s">
        <v>50</v>
      </c>
      <c r="W403" s="12">
        <v>48</v>
      </c>
    </row>
    <row r="404" spans="4:23" s="12" customFormat="1" ht="30.75" customHeight="1" thickTop="1" thickBot="1" x14ac:dyDescent="0.35">
      <c r="D404" s="10"/>
      <c r="G404" s="13">
        <f t="shared" si="34"/>
        <v>403</v>
      </c>
      <c r="H404" s="18">
        <v>45780</v>
      </c>
      <c r="I404" s="15" t="s">
        <v>22</v>
      </c>
      <c r="J404" s="15">
        <v>2692.5</v>
      </c>
      <c r="K404" s="15">
        <v>10</v>
      </c>
      <c r="L404" s="15">
        <v>2530.9499999999998</v>
      </c>
      <c r="M404" s="16">
        <f t="shared" si="30"/>
        <v>253.09499999999997</v>
      </c>
      <c r="N404" s="15">
        <v>0</v>
      </c>
      <c r="O404" s="16">
        <f t="shared" si="31"/>
        <v>2692.5</v>
      </c>
      <c r="P404" s="15" t="s">
        <v>18</v>
      </c>
      <c r="Q404" s="15">
        <v>0.06</v>
      </c>
      <c r="R404" s="16">
        <f t="shared" si="32"/>
        <v>161.54999999999998</v>
      </c>
      <c r="S404" s="15">
        <v>0</v>
      </c>
      <c r="T404" s="15">
        <v>0</v>
      </c>
      <c r="U404" s="17">
        <f t="shared" si="33"/>
        <v>161.54999999999998</v>
      </c>
      <c r="V404" s="12" t="s">
        <v>50</v>
      </c>
      <c r="W404" s="12">
        <v>48</v>
      </c>
    </row>
    <row r="405" spans="4:23" s="12" customFormat="1" ht="30.75" customHeight="1" thickTop="1" thickBot="1" x14ac:dyDescent="0.35">
      <c r="D405" s="10"/>
      <c r="G405" s="13">
        <f t="shared" si="34"/>
        <v>404</v>
      </c>
      <c r="H405" s="18">
        <v>45780</v>
      </c>
      <c r="I405" s="15" t="s">
        <v>23</v>
      </c>
      <c r="J405" s="15">
        <v>41400</v>
      </c>
      <c r="K405" s="15">
        <v>230</v>
      </c>
      <c r="L405" s="15">
        <v>36432</v>
      </c>
      <c r="M405" s="16">
        <f t="shared" si="30"/>
        <v>158.4</v>
      </c>
      <c r="N405" s="15">
        <v>0</v>
      </c>
      <c r="O405" s="16">
        <f t="shared" si="31"/>
        <v>41400</v>
      </c>
      <c r="P405" s="15" t="s">
        <v>18</v>
      </c>
      <c r="Q405" s="15">
        <v>0.06</v>
      </c>
      <c r="R405" s="16">
        <f t="shared" si="32"/>
        <v>2484</v>
      </c>
      <c r="S405" s="15">
        <v>0</v>
      </c>
      <c r="T405" s="15">
        <v>0</v>
      </c>
      <c r="U405" s="17">
        <f t="shared" si="33"/>
        <v>2484</v>
      </c>
      <c r="V405" s="12" t="s">
        <v>50</v>
      </c>
      <c r="W405" s="12">
        <v>48</v>
      </c>
    </row>
    <row r="406" spans="4:23" s="12" customFormat="1" ht="30.75" customHeight="1" thickTop="1" thickBot="1" x14ac:dyDescent="0.35">
      <c r="D406" s="10"/>
      <c r="G406" s="13">
        <f t="shared" si="34"/>
        <v>405</v>
      </c>
      <c r="H406" s="18">
        <v>45780</v>
      </c>
      <c r="I406" s="15" t="s">
        <v>24</v>
      </c>
      <c r="J406" s="15">
        <v>6100.8</v>
      </c>
      <c r="K406" s="15">
        <v>20</v>
      </c>
      <c r="L406" s="15">
        <v>5368.7</v>
      </c>
      <c r="M406" s="16">
        <f t="shared" si="30"/>
        <v>268.435</v>
      </c>
      <c r="N406" s="15">
        <v>0</v>
      </c>
      <c r="O406" s="16">
        <f t="shared" si="31"/>
        <v>6100.8</v>
      </c>
      <c r="P406" s="15" t="s">
        <v>18</v>
      </c>
      <c r="Q406" s="15">
        <v>0.06</v>
      </c>
      <c r="R406" s="16">
        <f t="shared" si="32"/>
        <v>366.048</v>
      </c>
      <c r="S406" s="15">
        <v>0</v>
      </c>
      <c r="T406" s="15">
        <v>0</v>
      </c>
      <c r="U406" s="17">
        <f t="shared" si="33"/>
        <v>366.048</v>
      </c>
      <c r="V406" s="12" t="s">
        <v>50</v>
      </c>
      <c r="W406" s="12">
        <v>48</v>
      </c>
    </row>
    <row r="407" spans="4:23" s="12" customFormat="1" ht="30.75" customHeight="1" thickTop="1" thickBot="1" x14ac:dyDescent="0.35">
      <c r="D407" s="10"/>
      <c r="G407" s="13">
        <f t="shared" si="34"/>
        <v>406</v>
      </c>
      <c r="H407" s="18">
        <v>45780</v>
      </c>
      <c r="I407" s="15" t="s">
        <v>31</v>
      </c>
      <c r="J407" s="15">
        <v>5400</v>
      </c>
      <c r="K407" s="15">
        <v>30</v>
      </c>
      <c r="L407" s="15">
        <v>4752</v>
      </c>
      <c r="M407" s="16">
        <f t="shared" si="30"/>
        <v>158.4</v>
      </c>
      <c r="N407" s="15">
        <v>0</v>
      </c>
      <c r="O407" s="16">
        <f t="shared" si="31"/>
        <v>5400</v>
      </c>
      <c r="P407" s="15" t="s">
        <v>18</v>
      </c>
      <c r="Q407" s="15">
        <v>0.06</v>
      </c>
      <c r="R407" s="16">
        <f t="shared" si="32"/>
        <v>324</v>
      </c>
      <c r="S407" s="15">
        <v>0</v>
      </c>
      <c r="T407" s="15">
        <v>0</v>
      </c>
      <c r="U407" s="17">
        <f t="shared" si="33"/>
        <v>324</v>
      </c>
      <c r="V407" s="12" t="s">
        <v>50</v>
      </c>
      <c r="W407" s="12">
        <v>48</v>
      </c>
    </row>
    <row r="408" spans="4:23" s="12" customFormat="1" ht="30.75" customHeight="1" thickTop="1" thickBot="1" x14ac:dyDescent="0.35">
      <c r="D408" s="10"/>
      <c r="G408" s="13">
        <f t="shared" si="34"/>
        <v>407</v>
      </c>
      <c r="H408" s="18">
        <v>45782</v>
      </c>
      <c r="I408" s="15" t="s">
        <v>41</v>
      </c>
      <c r="J408" s="15">
        <v>33627</v>
      </c>
      <c r="K408" s="15">
        <v>250</v>
      </c>
      <c r="L408" s="15">
        <v>27590.95</v>
      </c>
      <c r="M408" s="16">
        <f t="shared" si="30"/>
        <v>110.3638</v>
      </c>
      <c r="N408" s="15">
        <v>0</v>
      </c>
      <c r="O408" s="16">
        <f t="shared" si="31"/>
        <v>33627</v>
      </c>
      <c r="P408" s="15" t="s">
        <v>26</v>
      </c>
      <c r="Q408" s="15">
        <v>0.02</v>
      </c>
      <c r="R408" s="16">
        <f t="shared" si="32"/>
        <v>672.54</v>
      </c>
      <c r="S408" s="15">
        <v>0</v>
      </c>
      <c r="T408" s="15">
        <v>0</v>
      </c>
      <c r="U408" s="17">
        <f t="shared" si="33"/>
        <v>672.54</v>
      </c>
      <c r="V408" s="12" t="s">
        <v>50</v>
      </c>
      <c r="W408" s="12">
        <v>49</v>
      </c>
    </row>
    <row r="409" spans="4:23" s="12" customFormat="1" ht="30.75" customHeight="1" thickTop="1" thickBot="1" x14ac:dyDescent="0.35">
      <c r="D409" s="10"/>
      <c r="G409" s="13">
        <f t="shared" si="34"/>
        <v>408</v>
      </c>
      <c r="H409" s="18">
        <v>45782</v>
      </c>
      <c r="I409" s="15" t="s">
        <v>30</v>
      </c>
      <c r="J409" s="15">
        <v>75556.800000000003</v>
      </c>
      <c r="K409" s="15">
        <v>265</v>
      </c>
      <c r="L409" s="15">
        <v>55156.46</v>
      </c>
      <c r="M409" s="16">
        <f t="shared" si="30"/>
        <v>208.13758490566036</v>
      </c>
      <c r="N409" s="15">
        <v>0</v>
      </c>
      <c r="O409" s="16">
        <f t="shared" si="31"/>
        <v>75556.800000000003</v>
      </c>
      <c r="P409" s="15" t="s">
        <v>18</v>
      </c>
      <c r="Q409" s="15">
        <v>0.06</v>
      </c>
      <c r="R409" s="16">
        <f t="shared" si="32"/>
        <v>4533.4080000000004</v>
      </c>
      <c r="S409" s="15">
        <v>0</v>
      </c>
      <c r="T409" s="15">
        <v>0</v>
      </c>
      <c r="U409" s="17">
        <f t="shared" si="33"/>
        <v>4533.4080000000004</v>
      </c>
      <c r="V409" s="12" t="s">
        <v>50</v>
      </c>
      <c r="W409" s="12">
        <v>49</v>
      </c>
    </row>
    <row r="410" spans="4:23" s="12" customFormat="1" ht="30.75" customHeight="1" thickTop="1" thickBot="1" x14ac:dyDescent="0.35">
      <c r="D410" s="10"/>
      <c r="G410" s="13">
        <f t="shared" si="34"/>
        <v>409</v>
      </c>
      <c r="H410" s="18">
        <v>45782</v>
      </c>
      <c r="I410" s="15" t="s">
        <v>17</v>
      </c>
      <c r="J410" s="15">
        <v>91238.399999999994</v>
      </c>
      <c r="K410" s="15">
        <v>320</v>
      </c>
      <c r="L410" s="15">
        <v>66604.03</v>
      </c>
      <c r="M410" s="16">
        <f t="shared" si="30"/>
        <v>208.13759375000001</v>
      </c>
      <c r="N410" s="15">
        <v>0</v>
      </c>
      <c r="O410" s="16">
        <f t="shared" si="31"/>
        <v>91238.399999999994</v>
      </c>
      <c r="P410" s="15" t="s">
        <v>18</v>
      </c>
      <c r="Q410" s="15">
        <v>0.06</v>
      </c>
      <c r="R410" s="16">
        <f t="shared" si="32"/>
        <v>5474.3039999999992</v>
      </c>
      <c r="S410" s="15">
        <v>0</v>
      </c>
      <c r="T410" s="15">
        <v>0</v>
      </c>
      <c r="U410" s="17">
        <f t="shared" si="33"/>
        <v>5474.3039999999992</v>
      </c>
      <c r="V410" s="12" t="s">
        <v>50</v>
      </c>
      <c r="W410" s="12">
        <v>49</v>
      </c>
    </row>
    <row r="411" spans="4:23" s="12" customFormat="1" ht="30.75" customHeight="1" thickTop="1" thickBot="1" x14ac:dyDescent="0.35">
      <c r="D411" s="10"/>
      <c r="G411" s="13">
        <f t="shared" si="34"/>
        <v>410</v>
      </c>
      <c r="H411" s="18">
        <v>45782</v>
      </c>
      <c r="I411" s="15" t="s">
        <v>22</v>
      </c>
      <c r="J411" s="15">
        <v>5385</v>
      </c>
      <c r="K411" s="15">
        <v>20</v>
      </c>
      <c r="L411" s="15">
        <v>5061.8999999999996</v>
      </c>
      <c r="M411" s="16">
        <f t="shared" si="30"/>
        <v>253.09499999999997</v>
      </c>
      <c r="N411" s="15">
        <v>0</v>
      </c>
      <c r="O411" s="16">
        <f t="shared" si="31"/>
        <v>5385</v>
      </c>
      <c r="P411" s="15" t="s">
        <v>18</v>
      </c>
      <c r="Q411" s="15">
        <v>0.06</v>
      </c>
      <c r="R411" s="16">
        <f t="shared" si="32"/>
        <v>323.09999999999997</v>
      </c>
      <c r="S411" s="15">
        <v>0</v>
      </c>
      <c r="T411" s="15">
        <v>0</v>
      </c>
      <c r="U411" s="17">
        <f t="shared" si="33"/>
        <v>323.09999999999997</v>
      </c>
      <c r="V411" s="12" t="s">
        <v>50</v>
      </c>
      <c r="W411" s="12">
        <v>49</v>
      </c>
    </row>
    <row r="412" spans="4:23" s="12" customFormat="1" ht="30.75" customHeight="1" thickTop="1" thickBot="1" x14ac:dyDescent="0.35">
      <c r="D412" s="10"/>
      <c r="G412" s="13">
        <f t="shared" si="34"/>
        <v>411</v>
      </c>
      <c r="H412" s="18">
        <v>45782</v>
      </c>
      <c r="I412" s="15" t="s">
        <v>23</v>
      </c>
      <c r="J412" s="15">
        <v>19800</v>
      </c>
      <c r="K412" s="15">
        <v>110</v>
      </c>
      <c r="L412" s="15">
        <v>17424</v>
      </c>
      <c r="M412" s="16">
        <f t="shared" si="30"/>
        <v>158.4</v>
      </c>
      <c r="N412" s="15">
        <v>0</v>
      </c>
      <c r="O412" s="16">
        <f t="shared" si="31"/>
        <v>19800</v>
      </c>
      <c r="P412" s="15" t="s">
        <v>18</v>
      </c>
      <c r="Q412" s="15">
        <v>0.06</v>
      </c>
      <c r="R412" s="16">
        <f t="shared" si="32"/>
        <v>1188</v>
      </c>
      <c r="S412" s="15">
        <v>0</v>
      </c>
      <c r="T412" s="15">
        <v>0</v>
      </c>
      <c r="U412" s="17">
        <f t="shared" si="33"/>
        <v>1188</v>
      </c>
      <c r="V412" s="12" t="s">
        <v>50</v>
      </c>
      <c r="W412" s="12">
        <v>49</v>
      </c>
    </row>
    <row r="413" spans="4:23" s="12" customFormat="1" ht="30.75" customHeight="1" thickTop="1" thickBot="1" x14ac:dyDescent="0.35">
      <c r="D413" s="10"/>
      <c r="G413" s="13">
        <f t="shared" si="34"/>
        <v>412</v>
      </c>
      <c r="H413" s="18">
        <v>45782</v>
      </c>
      <c r="I413" s="15" t="s">
        <v>24</v>
      </c>
      <c r="J413" s="15">
        <v>6100.8</v>
      </c>
      <c r="K413" s="15">
        <v>20</v>
      </c>
      <c r="L413" s="15">
        <v>5368.7</v>
      </c>
      <c r="M413" s="16">
        <f t="shared" si="30"/>
        <v>268.435</v>
      </c>
      <c r="N413" s="15">
        <v>0</v>
      </c>
      <c r="O413" s="16">
        <f t="shared" si="31"/>
        <v>6100.8</v>
      </c>
      <c r="P413" s="15" t="s">
        <v>18</v>
      </c>
      <c r="Q413" s="15">
        <v>0.06</v>
      </c>
      <c r="R413" s="16">
        <f t="shared" si="32"/>
        <v>366.048</v>
      </c>
      <c r="S413" s="15">
        <v>0</v>
      </c>
      <c r="T413" s="15">
        <v>0</v>
      </c>
      <c r="U413" s="17">
        <f t="shared" si="33"/>
        <v>366.048</v>
      </c>
      <c r="V413" s="12" t="s">
        <v>50</v>
      </c>
      <c r="W413" s="12">
        <v>49</v>
      </c>
    </row>
    <row r="414" spans="4:23" s="12" customFormat="1" ht="30.75" customHeight="1" thickTop="1" thickBot="1" x14ac:dyDescent="0.35">
      <c r="D414" s="10"/>
      <c r="G414" s="13">
        <f t="shared" si="34"/>
        <v>413</v>
      </c>
      <c r="H414" s="18">
        <v>45782</v>
      </c>
      <c r="I414" s="15" t="s">
        <v>31</v>
      </c>
      <c r="J414" s="15">
        <v>7200</v>
      </c>
      <c r="K414" s="15">
        <v>40</v>
      </c>
      <c r="L414" s="15">
        <v>6336</v>
      </c>
      <c r="M414" s="16">
        <f t="shared" si="30"/>
        <v>158.4</v>
      </c>
      <c r="N414" s="15">
        <v>0</v>
      </c>
      <c r="O414" s="16">
        <f t="shared" si="31"/>
        <v>7200</v>
      </c>
      <c r="P414" s="15" t="s">
        <v>18</v>
      </c>
      <c r="Q414" s="15">
        <v>0.06</v>
      </c>
      <c r="R414" s="16">
        <f t="shared" si="32"/>
        <v>432</v>
      </c>
      <c r="S414" s="15">
        <v>0</v>
      </c>
      <c r="T414" s="15">
        <v>0</v>
      </c>
      <c r="U414" s="17">
        <f t="shared" si="33"/>
        <v>432</v>
      </c>
      <c r="V414" s="12" t="s">
        <v>50</v>
      </c>
      <c r="W414" s="12">
        <v>49</v>
      </c>
    </row>
    <row r="415" spans="4:23" s="12" customFormat="1" ht="30.75" customHeight="1" thickTop="1" thickBot="1" x14ac:dyDescent="0.35">
      <c r="D415" s="10"/>
      <c r="G415" s="13">
        <f t="shared" si="34"/>
        <v>414</v>
      </c>
      <c r="H415" s="18">
        <v>45784</v>
      </c>
      <c r="I415" s="15" t="s">
        <v>39</v>
      </c>
      <c r="J415" s="15">
        <v>10083.6</v>
      </c>
      <c r="K415" s="15">
        <v>30</v>
      </c>
      <c r="L415" s="15">
        <v>9478.58</v>
      </c>
      <c r="M415" s="16">
        <f t="shared" si="30"/>
        <v>315.95266666666669</v>
      </c>
      <c r="N415" s="15">
        <v>0</v>
      </c>
      <c r="O415" s="16">
        <f t="shared" si="31"/>
        <v>10083.6</v>
      </c>
      <c r="P415" s="15" t="s">
        <v>26</v>
      </c>
      <c r="Q415" s="15">
        <v>0.02</v>
      </c>
      <c r="R415" s="16">
        <f t="shared" si="32"/>
        <v>201.67200000000003</v>
      </c>
      <c r="S415" s="15">
        <v>0</v>
      </c>
      <c r="T415" s="15">
        <v>0</v>
      </c>
      <c r="U415" s="17">
        <f t="shared" si="33"/>
        <v>201.67200000000003</v>
      </c>
      <c r="V415" s="12" t="s">
        <v>50</v>
      </c>
      <c r="W415" s="12">
        <v>50</v>
      </c>
    </row>
    <row r="416" spans="4:23" s="12" customFormat="1" ht="30.75" customHeight="1" thickTop="1" thickBot="1" x14ac:dyDescent="0.35">
      <c r="D416" s="10"/>
      <c r="G416" s="13">
        <f t="shared" si="34"/>
        <v>415</v>
      </c>
      <c r="H416" s="18">
        <v>45784</v>
      </c>
      <c r="I416" s="15" t="s">
        <v>30</v>
      </c>
      <c r="J416" s="15">
        <v>61300.800000000003</v>
      </c>
      <c r="K416" s="15">
        <v>215</v>
      </c>
      <c r="L416" s="15">
        <v>44749.58</v>
      </c>
      <c r="M416" s="16">
        <f t="shared" si="30"/>
        <v>208.13758139534883</v>
      </c>
      <c r="N416" s="15">
        <v>0</v>
      </c>
      <c r="O416" s="16">
        <f t="shared" si="31"/>
        <v>61300.800000000003</v>
      </c>
      <c r="P416" s="15" t="s">
        <v>18</v>
      </c>
      <c r="Q416" s="15">
        <v>0.06</v>
      </c>
      <c r="R416" s="16">
        <f t="shared" si="32"/>
        <v>3678.0480000000002</v>
      </c>
      <c r="S416" s="15">
        <v>0</v>
      </c>
      <c r="T416" s="15">
        <v>0</v>
      </c>
      <c r="U416" s="17">
        <f t="shared" si="33"/>
        <v>3678.0480000000002</v>
      </c>
      <c r="V416" s="12" t="s">
        <v>50</v>
      </c>
      <c r="W416" s="12">
        <v>50</v>
      </c>
    </row>
    <row r="417" spans="4:23" s="12" customFormat="1" ht="30.75" customHeight="1" thickTop="1" thickBot="1" x14ac:dyDescent="0.35">
      <c r="D417" s="10"/>
      <c r="G417" s="13">
        <f t="shared" si="34"/>
        <v>416</v>
      </c>
      <c r="H417" s="18">
        <v>45784</v>
      </c>
      <c r="I417" s="15" t="s">
        <v>17</v>
      </c>
      <c r="J417" s="15">
        <v>81259.199999999997</v>
      </c>
      <c r="K417" s="15">
        <v>285</v>
      </c>
      <c r="L417" s="15">
        <v>59319.22</v>
      </c>
      <c r="M417" s="16">
        <f t="shared" si="30"/>
        <v>208.13761403508772</v>
      </c>
      <c r="N417" s="15">
        <v>0</v>
      </c>
      <c r="O417" s="16">
        <f t="shared" si="31"/>
        <v>81259.199999999997</v>
      </c>
      <c r="P417" s="15" t="s">
        <v>18</v>
      </c>
      <c r="Q417" s="15">
        <v>0.06</v>
      </c>
      <c r="R417" s="16">
        <f t="shared" si="32"/>
        <v>4875.5519999999997</v>
      </c>
      <c r="S417" s="15">
        <v>0</v>
      </c>
      <c r="T417" s="15">
        <v>0</v>
      </c>
      <c r="U417" s="17">
        <f t="shared" si="33"/>
        <v>4875.5519999999997</v>
      </c>
      <c r="V417" s="12" t="s">
        <v>50</v>
      </c>
      <c r="W417" s="12">
        <v>50</v>
      </c>
    </row>
    <row r="418" spans="4:23" s="12" customFormat="1" ht="30.75" customHeight="1" thickTop="1" thickBot="1" x14ac:dyDescent="0.35">
      <c r="D418" s="10"/>
      <c r="G418" s="13">
        <f t="shared" si="34"/>
        <v>417</v>
      </c>
      <c r="H418" s="18">
        <v>45784</v>
      </c>
      <c r="I418" s="15" t="s">
        <v>21</v>
      </c>
      <c r="J418" s="15">
        <v>3348</v>
      </c>
      <c r="K418" s="15">
        <v>15</v>
      </c>
      <c r="L418" s="15">
        <v>3147.12</v>
      </c>
      <c r="M418" s="16">
        <f t="shared" si="30"/>
        <v>209.80799999999999</v>
      </c>
      <c r="N418" s="15">
        <v>0</v>
      </c>
      <c r="O418" s="16">
        <f t="shared" si="31"/>
        <v>3348</v>
      </c>
      <c r="P418" s="15" t="s">
        <v>18</v>
      </c>
      <c r="Q418" s="15">
        <v>0.06</v>
      </c>
      <c r="R418" s="16">
        <f t="shared" si="32"/>
        <v>200.88</v>
      </c>
      <c r="S418" s="15">
        <v>0</v>
      </c>
      <c r="T418" s="15">
        <v>0</v>
      </c>
      <c r="U418" s="17">
        <f t="shared" si="33"/>
        <v>200.88</v>
      </c>
      <c r="V418" s="12" t="s">
        <v>50</v>
      </c>
      <c r="W418" s="12">
        <v>50</v>
      </c>
    </row>
    <row r="419" spans="4:23" s="12" customFormat="1" ht="30.75" customHeight="1" thickTop="1" thickBot="1" x14ac:dyDescent="0.35">
      <c r="D419" s="10"/>
      <c r="G419" s="13">
        <f t="shared" si="34"/>
        <v>418</v>
      </c>
      <c r="H419" s="18">
        <v>45784</v>
      </c>
      <c r="I419" s="15" t="s">
        <v>23</v>
      </c>
      <c r="J419" s="15">
        <v>27900</v>
      </c>
      <c r="K419" s="15">
        <v>155</v>
      </c>
      <c r="L419" s="15">
        <v>26226</v>
      </c>
      <c r="M419" s="16">
        <f t="shared" si="30"/>
        <v>169.2</v>
      </c>
      <c r="N419" s="15">
        <v>0</v>
      </c>
      <c r="O419" s="16">
        <f t="shared" si="31"/>
        <v>27900</v>
      </c>
      <c r="P419" s="15" t="s">
        <v>18</v>
      </c>
      <c r="Q419" s="15">
        <v>0.06</v>
      </c>
      <c r="R419" s="16">
        <f t="shared" si="32"/>
        <v>1674</v>
      </c>
      <c r="S419" s="15">
        <v>0</v>
      </c>
      <c r="T419" s="15">
        <v>0</v>
      </c>
      <c r="U419" s="17">
        <f t="shared" si="33"/>
        <v>1674</v>
      </c>
      <c r="V419" s="12" t="s">
        <v>50</v>
      </c>
      <c r="W419" s="12">
        <v>50</v>
      </c>
    </row>
    <row r="420" spans="4:23" s="12" customFormat="1" ht="30.75" customHeight="1" thickTop="1" thickBot="1" x14ac:dyDescent="0.35">
      <c r="D420" s="10"/>
      <c r="G420" s="13">
        <f t="shared" si="34"/>
        <v>419</v>
      </c>
      <c r="H420" s="18">
        <v>45787</v>
      </c>
      <c r="I420" s="15" t="s">
        <v>30</v>
      </c>
      <c r="J420" s="15">
        <v>57024</v>
      </c>
      <c r="K420" s="15">
        <v>200</v>
      </c>
      <c r="L420" s="15">
        <v>41627.519999999997</v>
      </c>
      <c r="M420" s="16">
        <f t="shared" si="30"/>
        <v>208.13759999999999</v>
      </c>
      <c r="N420" s="15">
        <v>0</v>
      </c>
      <c r="O420" s="16">
        <f t="shared" si="31"/>
        <v>57024</v>
      </c>
      <c r="P420" s="15" t="s">
        <v>18</v>
      </c>
      <c r="Q420" s="15">
        <v>0.06</v>
      </c>
      <c r="R420" s="16">
        <f t="shared" si="32"/>
        <v>3421.44</v>
      </c>
      <c r="S420" s="15">
        <v>0</v>
      </c>
      <c r="T420" s="15">
        <v>0</v>
      </c>
      <c r="U420" s="17">
        <f t="shared" si="33"/>
        <v>3421.44</v>
      </c>
      <c r="V420" s="12" t="s">
        <v>50</v>
      </c>
      <c r="W420" s="12">
        <v>51</v>
      </c>
    </row>
    <row r="421" spans="4:23" s="12" customFormat="1" ht="30.75" customHeight="1" thickTop="1" thickBot="1" x14ac:dyDescent="0.35">
      <c r="D421" s="10"/>
      <c r="G421" s="13">
        <f t="shared" si="34"/>
        <v>420</v>
      </c>
      <c r="H421" s="18">
        <v>45787</v>
      </c>
      <c r="I421" s="15" t="s">
        <v>17</v>
      </c>
      <c r="J421" s="15">
        <v>74131.199999999997</v>
      </c>
      <c r="K421" s="15">
        <v>260</v>
      </c>
      <c r="L421" s="15">
        <v>54115.78</v>
      </c>
      <c r="M421" s="16">
        <f t="shared" si="30"/>
        <v>208.13761538461537</v>
      </c>
      <c r="N421" s="15">
        <v>0</v>
      </c>
      <c r="O421" s="16">
        <f t="shared" si="31"/>
        <v>74131.199999999997</v>
      </c>
      <c r="P421" s="15" t="s">
        <v>18</v>
      </c>
      <c r="Q421" s="15">
        <v>0.06</v>
      </c>
      <c r="R421" s="16">
        <f t="shared" si="32"/>
        <v>4447.8719999999994</v>
      </c>
      <c r="S421" s="15">
        <v>0</v>
      </c>
      <c r="T421" s="15">
        <v>0</v>
      </c>
      <c r="U421" s="17">
        <f t="shared" si="33"/>
        <v>4447.8719999999994</v>
      </c>
      <c r="V421" s="12" t="s">
        <v>50</v>
      </c>
      <c r="W421" s="12">
        <v>51</v>
      </c>
    </row>
    <row r="422" spans="4:23" s="12" customFormat="1" ht="30.75" customHeight="1" thickTop="1" thickBot="1" x14ac:dyDescent="0.35">
      <c r="D422" s="10"/>
      <c r="G422" s="13">
        <f t="shared" si="34"/>
        <v>421</v>
      </c>
      <c r="H422" s="18">
        <v>45787</v>
      </c>
      <c r="I422" s="36" t="s">
        <v>20</v>
      </c>
      <c r="J422" s="15">
        <v>1440</v>
      </c>
      <c r="K422" s="15">
        <v>5</v>
      </c>
      <c r="L422" s="15">
        <v>1353.6</v>
      </c>
      <c r="M422" s="16">
        <f t="shared" si="30"/>
        <v>270.71999999999997</v>
      </c>
      <c r="N422" s="15">
        <v>0</v>
      </c>
      <c r="O422" s="16">
        <f t="shared" si="31"/>
        <v>1440</v>
      </c>
      <c r="P422" s="15" t="s">
        <v>18</v>
      </c>
      <c r="Q422" s="15">
        <v>0.06</v>
      </c>
      <c r="R422" s="16">
        <f t="shared" si="32"/>
        <v>86.399999999999991</v>
      </c>
      <c r="S422" s="15">
        <v>0</v>
      </c>
      <c r="T422" s="15">
        <v>0</v>
      </c>
      <c r="U422" s="17">
        <f t="shared" si="33"/>
        <v>86.399999999999991</v>
      </c>
      <c r="V422" s="12" t="s">
        <v>50</v>
      </c>
      <c r="W422" s="12">
        <v>51</v>
      </c>
    </row>
    <row r="423" spans="4:23" s="12" customFormat="1" ht="30.75" customHeight="1" thickTop="1" thickBot="1" x14ac:dyDescent="0.35">
      <c r="D423" s="10"/>
      <c r="G423" s="13">
        <f t="shared" si="34"/>
        <v>422</v>
      </c>
      <c r="H423" s="18">
        <v>45787</v>
      </c>
      <c r="I423" s="15" t="s">
        <v>21</v>
      </c>
      <c r="J423" s="15">
        <v>4464</v>
      </c>
      <c r="K423" s="15">
        <v>20</v>
      </c>
      <c r="L423" s="15">
        <v>4196.16</v>
      </c>
      <c r="M423" s="16">
        <f t="shared" si="30"/>
        <v>209.80799999999999</v>
      </c>
      <c r="N423" s="15">
        <v>0</v>
      </c>
      <c r="O423" s="16">
        <f t="shared" si="31"/>
        <v>4464</v>
      </c>
      <c r="P423" s="15" t="s">
        <v>18</v>
      </c>
      <c r="Q423" s="15">
        <v>0.06</v>
      </c>
      <c r="R423" s="16">
        <f t="shared" si="32"/>
        <v>267.83999999999997</v>
      </c>
      <c r="S423" s="15">
        <v>0</v>
      </c>
      <c r="T423" s="15">
        <v>0</v>
      </c>
      <c r="U423" s="17">
        <f t="shared" si="33"/>
        <v>267.83999999999997</v>
      </c>
      <c r="V423" s="12" t="s">
        <v>50</v>
      </c>
      <c r="W423" s="12">
        <v>51</v>
      </c>
    </row>
    <row r="424" spans="4:23" s="12" customFormat="1" ht="30.75" customHeight="1" thickTop="1" thickBot="1" x14ac:dyDescent="0.35">
      <c r="D424" s="10"/>
      <c r="G424" s="13">
        <f t="shared" si="34"/>
        <v>423</v>
      </c>
      <c r="H424" s="18">
        <v>45787</v>
      </c>
      <c r="I424" s="15" t="s">
        <v>24</v>
      </c>
      <c r="J424" s="15">
        <v>3050.4</v>
      </c>
      <c r="K424" s="15">
        <v>10</v>
      </c>
      <c r="L424" s="15">
        <v>2867.38</v>
      </c>
      <c r="M424" s="16">
        <f t="shared" si="30"/>
        <v>286.738</v>
      </c>
      <c r="N424" s="15">
        <v>0</v>
      </c>
      <c r="O424" s="16">
        <f t="shared" si="31"/>
        <v>3050.4</v>
      </c>
      <c r="P424" s="15" t="s">
        <v>18</v>
      </c>
      <c r="Q424" s="15">
        <v>0.06</v>
      </c>
      <c r="R424" s="16">
        <f t="shared" si="32"/>
        <v>183.024</v>
      </c>
      <c r="S424" s="15">
        <v>0</v>
      </c>
      <c r="T424" s="15">
        <v>0</v>
      </c>
      <c r="U424" s="17">
        <f t="shared" si="33"/>
        <v>183.024</v>
      </c>
      <c r="V424" s="12" t="s">
        <v>50</v>
      </c>
      <c r="W424" s="12">
        <v>51</v>
      </c>
    </row>
    <row r="425" spans="4:23" s="12" customFormat="1" ht="30.75" customHeight="1" thickTop="1" thickBot="1" x14ac:dyDescent="0.35">
      <c r="D425" s="10"/>
      <c r="G425" s="13">
        <f t="shared" si="34"/>
        <v>424</v>
      </c>
      <c r="H425" s="18">
        <v>45787</v>
      </c>
      <c r="I425" s="15" t="s">
        <v>31</v>
      </c>
      <c r="J425" s="15">
        <v>4500</v>
      </c>
      <c r="K425" s="15">
        <v>25</v>
      </c>
      <c r="L425" s="15">
        <v>4230</v>
      </c>
      <c r="M425" s="16">
        <f t="shared" si="30"/>
        <v>169.2</v>
      </c>
      <c r="N425" s="15">
        <v>0</v>
      </c>
      <c r="O425" s="16">
        <f t="shared" si="31"/>
        <v>4500</v>
      </c>
      <c r="P425" s="15" t="s">
        <v>18</v>
      </c>
      <c r="Q425" s="15">
        <v>0.06</v>
      </c>
      <c r="R425" s="16">
        <f t="shared" si="32"/>
        <v>270</v>
      </c>
      <c r="S425" s="15">
        <v>0</v>
      </c>
      <c r="T425" s="15">
        <v>0</v>
      </c>
      <c r="U425" s="17">
        <f t="shared" si="33"/>
        <v>270</v>
      </c>
      <c r="V425" s="12" t="s">
        <v>50</v>
      </c>
      <c r="W425" s="12">
        <v>51</v>
      </c>
    </row>
    <row r="426" spans="4:23" s="12" customFormat="1" ht="30.75" customHeight="1" thickTop="1" thickBot="1" x14ac:dyDescent="0.35">
      <c r="D426" s="10"/>
      <c r="G426" s="13">
        <f t="shared" si="34"/>
        <v>425</v>
      </c>
      <c r="H426" s="18">
        <v>45788</v>
      </c>
      <c r="I426" s="15" t="s">
        <v>51</v>
      </c>
      <c r="J426" s="15">
        <v>7000</v>
      </c>
      <c r="K426" s="15">
        <v>25</v>
      </c>
      <c r="L426" s="15">
        <v>6650</v>
      </c>
      <c r="M426" s="16">
        <f t="shared" si="30"/>
        <v>266</v>
      </c>
      <c r="N426" s="15">
        <v>0</v>
      </c>
      <c r="O426" s="16">
        <f t="shared" si="31"/>
        <v>7000</v>
      </c>
      <c r="P426" s="15" t="s">
        <v>33</v>
      </c>
      <c r="Q426" s="15">
        <v>0.01</v>
      </c>
      <c r="R426" s="16">
        <f t="shared" si="32"/>
        <v>70</v>
      </c>
      <c r="S426" s="15">
        <v>0</v>
      </c>
      <c r="T426" s="15">
        <v>0</v>
      </c>
      <c r="U426" s="17">
        <f t="shared" si="33"/>
        <v>70</v>
      </c>
      <c r="V426" s="12" t="s">
        <v>50</v>
      </c>
      <c r="W426" s="12">
        <v>52</v>
      </c>
    </row>
    <row r="427" spans="4:23" s="12" customFormat="1" ht="30.75" customHeight="1" thickTop="1" thickBot="1" x14ac:dyDescent="0.35">
      <c r="D427" s="10"/>
      <c r="G427" s="13">
        <f t="shared" si="34"/>
        <v>426</v>
      </c>
      <c r="H427" s="18">
        <v>45788</v>
      </c>
      <c r="I427" s="15" t="s">
        <v>30</v>
      </c>
      <c r="J427" s="15">
        <v>82684.800000000003</v>
      </c>
      <c r="K427" s="15">
        <v>290</v>
      </c>
      <c r="L427" s="15">
        <v>60359.9</v>
      </c>
      <c r="M427" s="16">
        <f t="shared" si="30"/>
        <v>208.13758620689654</v>
      </c>
      <c r="N427" s="15">
        <v>0</v>
      </c>
      <c r="O427" s="16">
        <f t="shared" si="31"/>
        <v>82684.800000000003</v>
      </c>
      <c r="P427" s="15" t="s">
        <v>18</v>
      </c>
      <c r="Q427" s="15">
        <v>0.06</v>
      </c>
      <c r="R427" s="16">
        <f t="shared" si="32"/>
        <v>4961.0879999999997</v>
      </c>
      <c r="S427" s="15">
        <v>0</v>
      </c>
      <c r="T427" s="15">
        <v>0</v>
      </c>
      <c r="U427" s="17">
        <f t="shared" si="33"/>
        <v>4961.0879999999997</v>
      </c>
      <c r="V427" s="12" t="s">
        <v>50</v>
      </c>
      <c r="W427" s="12">
        <v>52</v>
      </c>
    </row>
    <row r="428" spans="4:23" s="12" customFormat="1" ht="30.75" customHeight="1" thickTop="1" thickBot="1" x14ac:dyDescent="0.35">
      <c r="D428" s="10"/>
      <c r="G428" s="13">
        <f t="shared" si="34"/>
        <v>427</v>
      </c>
      <c r="H428" s="18">
        <v>45788</v>
      </c>
      <c r="I428" s="15" t="s">
        <v>17</v>
      </c>
      <c r="J428" s="15">
        <v>94089.600000000006</v>
      </c>
      <c r="K428" s="15">
        <v>330</v>
      </c>
      <c r="L428" s="15">
        <v>68685.41</v>
      </c>
      <c r="M428" s="16">
        <f t="shared" si="30"/>
        <v>208.13760606060606</v>
      </c>
      <c r="N428" s="15">
        <v>0</v>
      </c>
      <c r="O428" s="16">
        <f t="shared" si="31"/>
        <v>94089.600000000006</v>
      </c>
      <c r="P428" s="15" t="s">
        <v>18</v>
      </c>
      <c r="Q428" s="15">
        <v>0.06</v>
      </c>
      <c r="R428" s="16">
        <f t="shared" si="32"/>
        <v>5645.3760000000002</v>
      </c>
      <c r="S428" s="15">
        <v>0</v>
      </c>
      <c r="T428" s="15">
        <v>0</v>
      </c>
      <c r="U428" s="17">
        <f t="shared" si="33"/>
        <v>5645.3760000000002</v>
      </c>
      <c r="V428" s="12" t="s">
        <v>50</v>
      </c>
      <c r="W428" s="12">
        <v>52</v>
      </c>
    </row>
    <row r="429" spans="4:23" s="12" customFormat="1" ht="30.75" customHeight="1" thickTop="1" thickBot="1" x14ac:dyDescent="0.35">
      <c r="D429" s="10"/>
      <c r="G429" s="13">
        <f t="shared" si="34"/>
        <v>428</v>
      </c>
      <c r="H429" s="18">
        <v>45788</v>
      </c>
      <c r="I429" s="36" t="s">
        <v>20</v>
      </c>
      <c r="J429" s="15">
        <v>864</v>
      </c>
      <c r="K429" s="15">
        <v>3</v>
      </c>
      <c r="L429" s="15">
        <v>812.16</v>
      </c>
      <c r="M429" s="16">
        <f t="shared" si="30"/>
        <v>270.71999999999997</v>
      </c>
      <c r="N429" s="15">
        <v>0</v>
      </c>
      <c r="O429" s="16">
        <f t="shared" si="31"/>
        <v>864</v>
      </c>
      <c r="P429" s="15" t="s">
        <v>18</v>
      </c>
      <c r="Q429" s="15">
        <v>0.06</v>
      </c>
      <c r="R429" s="16">
        <f t="shared" si="32"/>
        <v>51.839999999999996</v>
      </c>
      <c r="S429" s="15">
        <v>0</v>
      </c>
      <c r="T429" s="15">
        <v>0</v>
      </c>
      <c r="U429" s="17">
        <f t="shared" si="33"/>
        <v>51.839999999999996</v>
      </c>
      <c r="V429" s="12" t="s">
        <v>50</v>
      </c>
      <c r="W429" s="12">
        <v>52</v>
      </c>
    </row>
    <row r="430" spans="4:23" s="12" customFormat="1" ht="30.75" customHeight="1" thickTop="1" thickBot="1" x14ac:dyDescent="0.35">
      <c r="D430" s="10"/>
      <c r="G430" s="13">
        <f t="shared" si="34"/>
        <v>429</v>
      </c>
      <c r="H430" s="18">
        <v>45788</v>
      </c>
      <c r="I430" s="15" t="s">
        <v>21</v>
      </c>
      <c r="J430" s="15">
        <v>4464</v>
      </c>
      <c r="K430" s="15">
        <v>20</v>
      </c>
      <c r="L430" s="15">
        <v>4196.16</v>
      </c>
      <c r="M430" s="16">
        <f t="shared" si="30"/>
        <v>209.80799999999999</v>
      </c>
      <c r="N430" s="15">
        <v>0</v>
      </c>
      <c r="O430" s="16">
        <f t="shared" si="31"/>
        <v>4464</v>
      </c>
      <c r="P430" s="15" t="s">
        <v>18</v>
      </c>
      <c r="Q430" s="15">
        <v>0.06</v>
      </c>
      <c r="R430" s="16">
        <f t="shared" si="32"/>
        <v>267.83999999999997</v>
      </c>
      <c r="S430" s="15">
        <v>0</v>
      </c>
      <c r="T430" s="15">
        <v>0</v>
      </c>
      <c r="U430" s="17">
        <f t="shared" si="33"/>
        <v>267.83999999999997</v>
      </c>
      <c r="V430" s="12" t="s">
        <v>50</v>
      </c>
      <c r="W430" s="12">
        <v>52</v>
      </c>
    </row>
    <row r="431" spans="4:23" s="12" customFormat="1" ht="30.75" customHeight="1" thickTop="1" thickBot="1" x14ac:dyDescent="0.35">
      <c r="D431" s="10"/>
      <c r="G431" s="13">
        <f t="shared" si="34"/>
        <v>430</v>
      </c>
      <c r="H431" s="18">
        <v>45788</v>
      </c>
      <c r="I431" s="15" t="s">
        <v>23</v>
      </c>
      <c r="J431" s="15">
        <v>36000</v>
      </c>
      <c r="K431" s="15">
        <v>200</v>
      </c>
      <c r="L431" s="15">
        <v>33840</v>
      </c>
      <c r="M431" s="16">
        <f t="shared" si="30"/>
        <v>169.2</v>
      </c>
      <c r="N431" s="15">
        <v>0</v>
      </c>
      <c r="O431" s="16">
        <f t="shared" si="31"/>
        <v>36000</v>
      </c>
      <c r="P431" s="15" t="s">
        <v>18</v>
      </c>
      <c r="Q431" s="15">
        <v>0.06</v>
      </c>
      <c r="R431" s="16">
        <f t="shared" si="32"/>
        <v>2160</v>
      </c>
      <c r="S431" s="15">
        <v>0</v>
      </c>
      <c r="T431" s="15">
        <v>0</v>
      </c>
      <c r="U431" s="17">
        <f t="shared" si="33"/>
        <v>2160</v>
      </c>
      <c r="V431" s="12" t="s">
        <v>50</v>
      </c>
      <c r="W431" s="12">
        <v>52</v>
      </c>
    </row>
    <row r="432" spans="4:23" s="12" customFormat="1" ht="30.75" customHeight="1" thickTop="1" thickBot="1" x14ac:dyDescent="0.35">
      <c r="D432" s="10"/>
      <c r="G432" s="13">
        <f t="shared" si="34"/>
        <v>431</v>
      </c>
      <c r="H432" s="18">
        <v>45788</v>
      </c>
      <c r="I432" s="15" t="s">
        <v>24</v>
      </c>
      <c r="J432" s="15">
        <v>7626</v>
      </c>
      <c r="K432" s="15">
        <v>25</v>
      </c>
      <c r="L432" s="15">
        <v>7168.44</v>
      </c>
      <c r="M432" s="16">
        <f t="shared" si="30"/>
        <v>286.73759999999999</v>
      </c>
      <c r="N432" s="15">
        <v>0</v>
      </c>
      <c r="O432" s="16">
        <f t="shared" si="31"/>
        <v>7626</v>
      </c>
      <c r="P432" s="15" t="s">
        <v>18</v>
      </c>
      <c r="Q432" s="15">
        <v>0.06</v>
      </c>
      <c r="R432" s="16">
        <f t="shared" si="32"/>
        <v>457.56</v>
      </c>
      <c r="S432" s="15">
        <v>0</v>
      </c>
      <c r="T432" s="15">
        <v>0</v>
      </c>
      <c r="U432" s="17">
        <f t="shared" si="33"/>
        <v>457.56</v>
      </c>
      <c r="V432" s="12" t="s">
        <v>50</v>
      </c>
      <c r="W432" s="12">
        <v>52</v>
      </c>
    </row>
    <row r="433" spans="4:23" s="12" customFormat="1" ht="30.75" customHeight="1" thickTop="1" thickBot="1" x14ac:dyDescent="0.35">
      <c r="D433" s="10"/>
      <c r="G433" s="13">
        <f t="shared" si="34"/>
        <v>432</v>
      </c>
      <c r="H433" s="18">
        <v>45788</v>
      </c>
      <c r="I433" s="15" t="s">
        <v>31</v>
      </c>
      <c r="J433" s="15">
        <v>7200</v>
      </c>
      <c r="K433" s="15">
        <v>40</v>
      </c>
      <c r="L433" s="15">
        <v>6768</v>
      </c>
      <c r="M433" s="16">
        <f t="shared" si="30"/>
        <v>169.2</v>
      </c>
      <c r="N433" s="15">
        <v>0</v>
      </c>
      <c r="O433" s="16">
        <f t="shared" si="31"/>
        <v>7200</v>
      </c>
      <c r="P433" s="15" t="s">
        <v>18</v>
      </c>
      <c r="Q433" s="15">
        <v>0.06</v>
      </c>
      <c r="R433" s="16">
        <f t="shared" si="32"/>
        <v>432</v>
      </c>
      <c r="S433" s="15">
        <v>0</v>
      </c>
      <c r="T433" s="15">
        <v>0</v>
      </c>
      <c r="U433" s="17">
        <f t="shared" si="33"/>
        <v>432</v>
      </c>
      <c r="V433" s="12" t="s">
        <v>50</v>
      </c>
      <c r="W433" s="12">
        <v>52</v>
      </c>
    </row>
    <row r="434" spans="4:23" s="12" customFormat="1" ht="30.75" customHeight="1" thickTop="1" thickBot="1" x14ac:dyDescent="0.35">
      <c r="D434" s="10"/>
      <c r="G434" s="13">
        <f t="shared" si="34"/>
        <v>433</v>
      </c>
      <c r="H434" s="18">
        <v>45791</v>
      </c>
      <c r="I434" s="15" t="s">
        <v>30</v>
      </c>
      <c r="J434" s="15">
        <v>42768</v>
      </c>
      <c r="K434" s="15">
        <v>150</v>
      </c>
      <c r="L434" s="15">
        <v>31220.639999999999</v>
      </c>
      <c r="M434" s="16">
        <f t="shared" si="30"/>
        <v>208.13759999999999</v>
      </c>
      <c r="N434" s="15">
        <v>0</v>
      </c>
      <c r="O434" s="16">
        <f t="shared" si="31"/>
        <v>42768</v>
      </c>
      <c r="P434" s="15" t="s">
        <v>18</v>
      </c>
      <c r="Q434" s="15">
        <v>0.06</v>
      </c>
      <c r="R434" s="16">
        <f t="shared" si="32"/>
        <v>2566.08</v>
      </c>
      <c r="S434" s="15">
        <v>0</v>
      </c>
      <c r="T434" s="15">
        <v>0</v>
      </c>
      <c r="U434" s="17">
        <f t="shared" si="33"/>
        <v>2566.08</v>
      </c>
      <c r="V434" s="12" t="s">
        <v>50</v>
      </c>
      <c r="W434" s="12">
        <v>53</v>
      </c>
    </row>
    <row r="435" spans="4:23" s="12" customFormat="1" ht="30.75" customHeight="1" thickTop="1" thickBot="1" x14ac:dyDescent="0.35">
      <c r="D435" s="10"/>
      <c r="G435" s="13">
        <f t="shared" si="34"/>
        <v>434</v>
      </c>
      <c r="H435" s="18">
        <v>45791</v>
      </c>
      <c r="I435" s="15" t="s">
        <v>17</v>
      </c>
      <c r="J435" s="15">
        <v>48470.400000000001</v>
      </c>
      <c r="K435" s="15">
        <v>170</v>
      </c>
      <c r="L435" s="15">
        <v>35383.39</v>
      </c>
      <c r="M435" s="16">
        <f t="shared" si="30"/>
        <v>208.13758823529412</v>
      </c>
      <c r="N435" s="15">
        <v>0</v>
      </c>
      <c r="O435" s="16">
        <f t="shared" si="31"/>
        <v>48470.400000000001</v>
      </c>
      <c r="P435" s="15" t="s">
        <v>18</v>
      </c>
      <c r="Q435" s="15">
        <v>0.06</v>
      </c>
      <c r="R435" s="16">
        <f t="shared" si="32"/>
        <v>2908.2240000000002</v>
      </c>
      <c r="S435" s="15">
        <v>0</v>
      </c>
      <c r="T435" s="15">
        <v>0</v>
      </c>
      <c r="U435" s="17">
        <f t="shared" si="33"/>
        <v>2908.2240000000002</v>
      </c>
      <c r="V435" s="12" t="s">
        <v>50</v>
      </c>
      <c r="W435" s="12">
        <v>53</v>
      </c>
    </row>
    <row r="436" spans="4:23" s="12" customFormat="1" ht="30.75" customHeight="1" thickTop="1" thickBot="1" x14ac:dyDescent="0.35">
      <c r="D436" s="10"/>
      <c r="G436" s="13">
        <f t="shared" si="34"/>
        <v>435</v>
      </c>
      <c r="H436" s="18">
        <v>45791</v>
      </c>
      <c r="I436" s="15" t="s">
        <v>21</v>
      </c>
      <c r="J436" s="15">
        <v>3348</v>
      </c>
      <c r="K436" s="15">
        <v>15</v>
      </c>
      <c r="L436" s="15">
        <v>3147.12</v>
      </c>
      <c r="M436" s="16">
        <f t="shared" si="30"/>
        <v>209.80799999999999</v>
      </c>
      <c r="N436" s="15">
        <v>0</v>
      </c>
      <c r="O436" s="16">
        <f t="shared" si="31"/>
        <v>3348</v>
      </c>
      <c r="P436" s="15" t="s">
        <v>18</v>
      </c>
      <c r="Q436" s="15">
        <v>0.06</v>
      </c>
      <c r="R436" s="16">
        <f t="shared" si="32"/>
        <v>200.88</v>
      </c>
      <c r="S436" s="15">
        <v>0</v>
      </c>
      <c r="T436" s="15">
        <v>0</v>
      </c>
      <c r="U436" s="17">
        <f t="shared" si="33"/>
        <v>200.88</v>
      </c>
      <c r="V436" s="12" t="s">
        <v>50</v>
      </c>
      <c r="W436" s="12">
        <v>53</v>
      </c>
    </row>
    <row r="437" spans="4:23" s="12" customFormat="1" ht="30.75" customHeight="1" thickTop="1" thickBot="1" x14ac:dyDescent="0.35">
      <c r="D437" s="10"/>
      <c r="G437" s="13">
        <f t="shared" si="34"/>
        <v>436</v>
      </c>
      <c r="H437" s="18">
        <v>45791</v>
      </c>
      <c r="I437" s="15" t="s">
        <v>23</v>
      </c>
      <c r="J437" s="15">
        <v>36000</v>
      </c>
      <c r="K437" s="15">
        <v>200</v>
      </c>
      <c r="L437" s="15">
        <v>33840</v>
      </c>
      <c r="M437" s="16">
        <f t="shared" si="30"/>
        <v>169.2</v>
      </c>
      <c r="N437" s="15">
        <v>0</v>
      </c>
      <c r="O437" s="16">
        <f t="shared" si="31"/>
        <v>36000</v>
      </c>
      <c r="P437" s="15" t="s">
        <v>18</v>
      </c>
      <c r="Q437" s="15">
        <v>0.06</v>
      </c>
      <c r="R437" s="16">
        <f t="shared" si="32"/>
        <v>2160</v>
      </c>
      <c r="S437" s="15">
        <v>0</v>
      </c>
      <c r="T437" s="15">
        <v>0</v>
      </c>
      <c r="U437" s="17">
        <f t="shared" si="33"/>
        <v>2160</v>
      </c>
      <c r="V437" s="12" t="s">
        <v>50</v>
      </c>
      <c r="W437" s="12">
        <v>53</v>
      </c>
    </row>
    <row r="438" spans="4:23" s="12" customFormat="1" ht="30.75" customHeight="1" thickTop="1" thickBot="1" x14ac:dyDescent="0.35">
      <c r="D438" s="10"/>
      <c r="G438" s="13">
        <f t="shared" si="34"/>
        <v>437</v>
      </c>
      <c r="H438" s="18">
        <v>45791</v>
      </c>
      <c r="I438" s="15" t="s">
        <v>31</v>
      </c>
      <c r="J438" s="15">
        <v>2700</v>
      </c>
      <c r="K438" s="15">
        <v>15</v>
      </c>
      <c r="L438" s="15">
        <v>2538</v>
      </c>
      <c r="M438" s="16">
        <f t="shared" si="30"/>
        <v>169.2</v>
      </c>
      <c r="N438" s="15">
        <v>0</v>
      </c>
      <c r="O438" s="16">
        <f t="shared" si="31"/>
        <v>2700</v>
      </c>
      <c r="P438" s="15" t="s">
        <v>18</v>
      </c>
      <c r="Q438" s="15">
        <v>0.06</v>
      </c>
      <c r="R438" s="16">
        <f t="shared" si="32"/>
        <v>162</v>
      </c>
      <c r="S438" s="15">
        <v>0</v>
      </c>
      <c r="T438" s="15">
        <v>0</v>
      </c>
      <c r="U438" s="17">
        <f t="shared" si="33"/>
        <v>162</v>
      </c>
      <c r="V438" s="12" t="s">
        <v>50</v>
      </c>
      <c r="W438" s="12">
        <v>53</v>
      </c>
    </row>
    <row r="439" spans="4:23" s="12" customFormat="1" ht="30.75" customHeight="1" thickTop="1" thickBot="1" x14ac:dyDescent="0.35">
      <c r="D439" s="10"/>
      <c r="G439" s="13">
        <f t="shared" si="34"/>
        <v>438</v>
      </c>
      <c r="H439" s="18">
        <v>45794</v>
      </c>
      <c r="I439" s="15" t="s">
        <v>30</v>
      </c>
      <c r="J439" s="15">
        <v>57024</v>
      </c>
      <c r="K439" s="15">
        <v>200</v>
      </c>
      <c r="L439" s="15">
        <v>41627.519999999997</v>
      </c>
      <c r="M439" s="16">
        <f t="shared" si="30"/>
        <v>208.13759999999999</v>
      </c>
      <c r="N439" s="15">
        <v>0</v>
      </c>
      <c r="O439" s="16">
        <f t="shared" si="31"/>
        <v>57024</v>
      </c>
      <c r="P439" s="15" t="s">
        <v>18</v>
      </c>
      <c r="Q439" s="15">
        <v>0.06</v>
      </c>
      <c r="R439" s="16">
        <f t="shared" si="32"/>
        <v>3421.44</v>
      </c>
      <c r="S439" s="15">
        <v>0</v>
      </c>
      <c r="T439" s="15">
        <v>0</v>
      </c>
      <c r="U439" s="17">
        <f t="shared" si="33"/>
        <v>3421.44</v>
      </c>
      <c r="V439" s="12" t="s">
        <v>50</v>
      </c>
      <c r="W439" s="12">
        <v>54</v>
      </c>
    </row>
    <row r="440" spans="4:23" s="12" customFormat="1" ht="30.75" customHeight="1" thickTop="1" thickBot="1" x14ac:dyDescent="0.35">
      <c r="D440" s="10"/>
      <c r="G440" s="13">
        <f t="shared" si="34"/>
        <v>439</v>
      </c>
      <c r="H440" s="18">
        <v>45794</v>
      </c>
      <c r="I440" s="15" t="s">
        <v>17</v>
      </c>
      <c r="J440" s="15">
        <v>89812.800000000003</v>
      </c>
      <c r="K440" s="15">
        <v>315</v>
      </c>
      <c r="L440" s="15">
        <v>65563.34</v>
      </c>
      <c r="M440" s="16">
        <f t="shared" si="30"/>
        <v>208.1375873015873</v>
      </c>
      <c r="N440" s="15">
        <v>0</v>
      </c>
      <c r="O440" s="16">
        <f t="shared" si="31"/>
        <v>89812.800000000003</v>
      </c>
      <c r="P440" s="15" t="s">
        <v>18</v>
      </c>
      <c r="Q440" s="15">
        <v>0.06</v>
      </c>
      <c r="R440" s="16">
        <f t="shared" si="32"/>
        <v>5388.768</v>
      </c>
      <c r="S440" s="15">
        <v>0</v>
      </c>
      <c r="T440" s="15">
        <v>0</v>
      </c>
      <c r="U440" s="17">
        <f t="shared" si="33"/>
        <v>5388.768</v>
      </c>
      <c r="V440" s="12" t="s">
        <v>50</v>
      </c>
      <c r="W440" s="12">
        <v>54</v>
      </c>
    </row>
    <row r="441" spans="4:23" s="12" customFormat="1" ht="30.75" customHeight="1" thickTop="1" thickBot="1" x14ac:dyDescent="0.35">
      <c r="D441" s="10"/>
      <c r="G441" s="13">
        <f t="shared" si="34"/>
        <v>440</v>
      </c>
      <c r="H441" s="18">
        <v>45794</v>
      </c>
      <c r="I441" s="36" t="s">
        <v>20</v>
      </c>
      <c r="J441" s="15">
        <v>864</v>
      </c>
      <c r="K441" s="15">
        <v>3</v>
      </c>
      <c r="L441" s="15">
        <v>812.16</v>
      </c>
      <c r="M441" s="16">
        <f t="shared" si="30"/>
        <v>270.71999999999997</v>
      </c>
      <c r="N441" s="15">
        <v>0</v>
      </c>
      <c r="O441" s="16">
        <f t="shared" si="31"/>
        <v>864</v>
      </c>
      <c r="P441" s="15" t="s">
        <v>18</v>
      </c>
      <c r="Q441" s="15">
        <v>0.06</v>
      </c>
      <c r="R441" s="16">
        <f t="shared" si="32"/>
        <v>51.839999999999996</v>
      </c>
      <c r="S441" s="15">
        <v>0</v>
      </c>
      <c r="T441" s="15">
        <v>0</v>
      </c>
      <c r="U441" s="17">
        <f t="shared" si="33"/>
        <v>51.839999999999996</v>
      </c>
      <c r="V441" s="12" t="s">
        <v>50</v>
      </c>
      <c r="W441" s="12">
        <v>54</v>
      </c>
    </row>
    <row r="442" spans="4:23" s="12" customFormat="1" ht="30.75" customHeight="1" thickTop="1" thickBot="1" x14ac:dyDescent="0.35">
      <c r="D442" s="10"/>
      <c r="G442" s="13">
        <f t="shared" si="34"/>
        <v>441</v>
      </c>
      <c r="H442" s="18">
        <v>45794</v>
      </c>
      <c r="I442" s="15" t="s">
        <v>23</v>
      </c>
      <c r="J442" s="15">
        <v>54000</v>
      </c>
      <c r="K442" s="15">
        <v>300</v>
      </c>
      <c r="L442" s="15">
        <v>50760</v>
      </c>
      <c r="M442" s="16">
        <f t="shared" si="30"/>
        <v>169.2</v>
      </c>
      <c r="N442" s="15">
        <v>0</v>
      </c>
      <c r="O442" s="16">
        <f t="shared" si="31"/>
        <v>54000</v>
      </c>
      <c r="P442" s="15" t="s">
        <v>18</v>
      </c>
      <c r="Q442" s="15">
        <v>0.06</v>
      </c>
      <c r="R442" s="16">
        <f t="shared" si="32"/>
        <v>3240</v>
      </c>
      <c r="S442" s="15">
        <v>0</v>
      </c>
      <c r="T442" s="15">
        <v>0</v>
      </c>
      <c r="U442" s="17">
        <f t="shared" si="33"/>
        <v>3240</v>
      </c>
      <c r="V442" s="12" t="s">
        <v>50</v>
      </c>
      <c r="W442" s="12">
        <v>54</v>
      </c>
    </row>
    <row r="443" spans="4:23" s="12" customFormat="1" ht="30.75" customHeight="1" thickTop="1" thickBot="1" x14ac:dyDescent="0.35">
      <c r="D443" s="10"/>
      <c r="G443" s="13">
        <f t="shared" si="34"/>
        <v>442</v>
      </c>
      <c r="H443" s="18">
        <v>45794</v>
      </c>
      <c r="I443" s="15" t="s">
        <v>24</v>
      </c>
      <c r="J443" s="15">
        <v>7626</v>
      </c>
      <c r="K443" s="15">
        <v>25</v>
      </c>
      <c r="L443" s="15">
        <v>7168.44</v>
      </c>
      <c r="M443" s="16">
        <f t="shared" si="30"/>
        <v>286.73759999999999</v>
      </c>
      <c r="N443" s="15">
        <v>0</v>
      </c>
      <c r="O443" s="16">
        <f t="shared" si="31"/>
        <v>7626</v>
      </c>
      <c r="P443" s="15" t="s">
        <v>18</v>
      </c>
      <c r="Q443" s="15">
        <v>0.06</v>
      </c>
      <c r="R443" s="16">
        <f t="shared" si="32"/>
        <v>457.56</v>
      </c>
      <c r="S443" s="15">
        <v>0</v>
      </c>
      <c r="T443" s="15">
        <v>0</v>
      </c>
      <c r="U443" s="17">
        <f t="shared" si="33"/>
        <v>457.56</v>
      </c>
      <c r="V443" s="12" t="s">
        <v>50</v>
      </c>
      <c r="W443" s="12">
        <v>54</v>
      </c>
    </row>
    <row r="444" spans="4:23" s="12" customFormat="1" ht="30.75" customHeight="1" thickTop="1" thickBot="1" x14ac:dyDescent="0.35">
      <c r="D444" s="10"/>
      <c r="G444" s="13">
        <f t="shared" si="34"/>
        <v>443</v>
      </c>
      <c r="H444" s="18">
        <v>45794</v>
      </c>
      <c r="I444" s="15" t="s">
        <v>31</v>
      </c>
      <c r="J444" s="15">
        <v>9000</v>
      </c>
      <c r="K444" s="15">
        <v>50</v>
      </c>
      <c r="L444" s="15">
        <v>8460</v>
      </c>
      <c r="M444" s="16">
        <f t="shared" si="30"/>
        <v>169.2</v>
      </c>
      <c r="N444" s="15">
        <v>0</v>
      </c>
      <c r="O444" s="16">
        <f t="shared" si="31"/>
        <v>9000</v>
      </c>
      <c r="P444" s="15" t="s">
        <v>18</v>
      </c>
      <c r="Q444" s="15">
        <v>0.06</v>
      </c>
      <c r="R444" s="16">
        <f t="shared" si="32"/>
        <v>540</v>
      </c>
      <c r="S444" s="15">
        <v>0</v>
      </c>
      <c r="T444" s="15">
        <v>0</v>
      </c>
      <c r="U444" s="17">
        <f t="shared" si="33"/>
        <v>540</v>
      </c>
      <c r="V444" s="12" t="s">
        <v>50</v>
      </c>
      <c r="W444" s="12">
        <v>54</v>
      </c>
    </row>
    <row r="445" spans="4:23" s="12" customFormat="1" ht="30.75" customHeight="1" thickTop="1" thickBot="1" x14ac:dyDescent="0.35">
      <c r="D445" s="10"/>
      <c r="G445" s="13">
        <f t="shared" si="34"/>
        <v>444</v>
      </c>
      <c r="H445" s="18">
        <v>45796</v>
      </c>
      <c r="I445" s="15" t="s">
        <v>30</v>
      </c>
      <c r="J445" s="15">
        <v>57024</v>
      </c>
      <c r="K445" s="15">
        <v>200</v>
      </c>
      <c r="L445" s="15">
        <v>41627.519999999997</v>
      </c>
      <c r="M445" s="16">
        <f t="shared" si="30"/>
        <v>208.13759999999999</v>
      </c>
      <c r="N445" s="15">
        <v>0</v>
      </c>
      <c r="O445" s="16">
        <f t="shared" si="31"/>
        <v>57024</v>
      </c>
      <c r="P445" s="15" t="s">
        <v>18</v>
      </c>
      <c r="Q445" s="15">
        <v>0.06</v>
      </c>
      <c r="R445" s="16">
        <f t="shared" si="32"/>
        <v>3421.44</v>
      </c>
      <c r="S445" s="15">
        <v>0</v>
      </c>
      <c r="T445" s="15">
        <v>0</v>
      </c>
      <c r="U445" s="17">
        <f t="shared" si="33"/>
        <v>3421.44</v>
      </c>
      <c r="V445" s="12" t="s">
        <v>50</v>
      </c>
      <c r="W445" s="12">
        <v>55</v>
      </c>
    </row>
    <row r="446" spans="4:23" s="12" customFormat="1" ht="30.75" customHeight="1" thickTop="1" thickBot="1" x14ac:dyDescent="0.35">
      <c r="D446" s="10"/>
      <c r="G446" s="13">
        <f t="shared" si="34"/>
        <v>445</v>
      </c>
      <c r="H446" s="18">
        <v>45796</v>
      </c>
      <c r="I446" s="15" t="s">
        <v>17</v>
      </c>
      <c r="J446" s="15">
        <v>106920</v>
      </c>
      <c r="K446" s="15">
        <v>375</v>
      </c>
      <c r="L446" s="15">
        <v>78051.600000000006</v>
      </c>
      <c r="M446" s="16">
        <f t="shared" si="30"/>
        <v>208.13760000000002</v>
      </c>
      <c r="N446" s="15">
        <v>0</v>
      </c>
      <c r="O446" s="16">
        <f t="shared" si="31"/>
        <v>106920</v>
      </c>
      <c r="P446" s="15" t="s">
        <v>18</v>
      </c>
      <c r="Q446" s="15">
        <v>0.06</v>
      </c>
      <c r="R446" s="16">
        <f t="shared" si="32"/>
        <v>6415.2</v>
      </c>
      <c r="S446" s="15">
        <v>0</v>
      </c>
      <c r="T446" s="15">
        <v>0</v>
      </c>
      <c r="U446" s="17">
        <f t="shared" si="33"/>
        <v>6415.2</v>
      </c>
      <c r="V446" s="12" t="s">
        <v>50</v>
      </c>
      <c r="W446" s="12">
        <v>55</v>
      </c>
    </row>
    <row r="447" spans="4:23" s="12" customFormat="1" ht="30.75" customHeight="1" thickTop="1" thickBot="1" x14ac:dyDescent="0.35">
      <c r="D447" s="10"/>
      <c r="G447" s="13">
        <f t="shared" si="34"/>
        <v>446</v>
      </c>
      <c r="H447" s="18">
        <v>45796</v>
      </c>
      <c r="I447" s="15" t="s">
        <v>23</v>
      </c>
      <c r="J447" s="15">
        <v>54000</v>
      </c>
      <c r="K447" s="15">
        <v>300</v>
      </c>
      <c r="L447" s="15">
        <v>50760</v>
      </c>
      <c r="M447" s="16">
        <f t="shared" si="30"/>
        <v>169.2</v>
      </c>
      <c r="N447" s="15">
        <v>0</v>
      </c>
      <c r="O447" s="16">
        <f t="shared" si="31"/>
        <v>54000</v>
      </c>
      <c r="P447" s="15" t="s">
        <v>18</v>
      </c>
      <c r="Q447" s="15">
        <v>0.06</v>
      </c>
      <c r="R447" s="16">
        <f t="shared" si="32"/>
        <v>3240</v>
      </c>
      <c r="S447" s="15">
        <v>0</v>
      </c>
      <c r="T447" s="15">
        <v>0</v>
      </c>
      <c r="U447" s="17">
        <f t="shared" si="33"/>
        <v>3240</v>
      </c>
      <c r="V447" s="12" t="s">
        <v>50</v>
      </c>
      <c r="W447" s="12">
        <v>55</v>
      </c>
    </row>
    <row r="448" spans="4:23" s="12" customFormat="1" ht="30.75" customHeight="1" thickTop="1" thickBot="1" x14ac:dyDescent="0.35">
      <c r="D448" s="10"/>
      <c r="G448" s="13">
        <f t="shared" si="34"/>
        <v>447</v>
      </c>
      <c r="H448" s="18">
        <v>45796</v>
      </c>
      <c r="I448" s="15" t="s">
        <v>24</v>
      </c>
      <c r="J448" s="15">
        <v>7626</v>
      </c>
      <c r="K448" s="15">
        <v>25</v>
      </c>
      <c r="L448" s="15">
        <v>7168.44</v>
      </c>
      <c r="M448" s="16">
        <f t="shared" si="30"/>
        <v>286.73759999999999</v>
      </c>
      <c r="N448" s="15">
        <v>0</v>
      </c>
      <c r="O448" s="16">
        <f t="shared" si="31"/>
        <v>7626</v>
      </c>
      <c r="P448" s="15" t="s">
        <v>18</v>
      </c>
      <c r="Q448" s="15">
        <v>0.06</v>
      </c>
      <c r="R448" s="16">
        <f t="shared" si="32"/>
        <v>457.56</v>
      </c>
      <c r="S448" s="15">
        <v>0</v>
      </c>
      <c r="T448" s="15">
        <v>0</v>
      </c>
      <c r="U448" s="17">
        <f t="shared" si="33"/>
        <v>457.56</v>
      </c>
      <c r="V448" s="12" t="s">
        <v>50</v>
      </c>
      <c r="W448" s="12">
        <v>55</v>
      </c>
    </row>
    <row r="449" spans="4:23" s="12" customFormat="1" ht="30.75" customHeight="1" thickTop="1" thickBot="1" x14ac:dyDescent="0.35">
      <c r="D449" s="10"/>
      <c r="G449" s="13">
        <f t="shared" si="34"/>
        <v>448</v>
      </c>
      <c r="H449" s="18">
        <v>45796</v>
      </c>
      <c r="I449" s="15" t="s">
        <v>31</v>
      </c>
      <c r="J449" s="15">
        <v>7200</v>
      </c>
      <c r="K449" s="15">
        <v>40</v>
      </c>
      <c r="L449" s="15">
        <v>6768</v>
      </c>
      <c r="M449" s="16">
        <f t="shared" si="30"/>
        <v>169.2</v>
      </c>
      <c r="N449" s="15">
        <v>0</v>
      </c>
      <c r="O449" s="16">
        <f t="shared" si="31"/>
        <v>7200</v>
      </c>
      <c r="P449" s="15" t="s">
        <v>18</v>
      </c>
      <c r="Q449" s="15">
        <v>0.06</v>
      </c>
      <c r="R449" s="16">
        <f t="shared" si="32"/>
        <v>432</v>
      </c>
      <c r="S449" s="15">
        <v>0</v>
      </c>
      <c r="T449" s="15">
        <v>0</v>
      </c>
      <c r="U449" s="17">
        <f t="shared" si="33"/>
        <v>432</v>
      </c>
      <c r="V449" s="12" t="s">
        <v>50</v>
      </c>
      <c r="W449" s="12">
        <v>55</v>
      </c>
    </row>
    <row r="450" spans="4:23" s="12" customFormat="1" ht="30.75" customHeight="1" thickTop="1" thickBot="1" x14ac:dyDescent="0.35">
      <c r="D450" s="10"/>
      <c r="G450" s="13">
        <f t="shared" si="34"/>
        <v>449</v>
      </c>
      <c r="H450" s="18">
        <v>45797</v>
      </c>
      <c r="I450" s="15" t="s">
        <v>30</v>
      </c>
      <c r="J450" s="15">
        <v>57024</v>
      </c>
      <c r="K450" s="15">
        <v>200</v>
      </c>
      <c r="L450" s="15">
        <v>41627.519999999997</v>
      </c>
      <c r="M450" s="16">
        <f t="shared" ref="M450:M513" si="35">IFERROR(L450/K450,"")</f>
        <v>208.13759999999999</v>
      </c>
      <c r="N450" s="15">
        <v>0</v>
      </c>
      <c r="O450" s="16">
        <f t="shared" ref="O450:O513" si="36">J450-N450</f>
        <v>57024</v>
      </c>
      <c r="P450" s="15" t="s">
        <v>18</v>
      </c>
      <c r="Q450" s="15">
        <v>0.06</v>
      </c>
      <c r="R450" s="16">
        <f t="shared" ref="R450:R513" si="37">J450*Q450</f>
        <v>3421.44</v>
      </c>
      <c r="S450" s="15">
        <v>0</v>
      </c>
      <c r="T450" s="15">
        <v>0</v>
      </c>
      <c r="U450" s="17">
        <f t="shared" ref="U450:U513" si="38">T450+S450+R450</f>
        <v>3421.44</v>
      </c>
      <c r="V450" s="12" t="s">
        <v>50</v>
      </c>
      <c r="W450" s="12">
        <v>56</v>
      </c>
    </row>
    <row r="451" spans="4:23" s="12" customFormat="1" ht="30.75" customHeight="1" thickTop="1" thickBot="1" x14ac:dyDescent="0.35">
      <c r="D451" s="10"/>
      <c r="G451" s="13">
        <f t="shared" si="34"/>
        <v>450</v>
      </c>
      <c r="H451" s="18">
        <v>45797</v>
      </c>
      <c r="I451" s="15" t="s">
        <v>17</v>
      </c>
      <c r="J451" s="15">
        <v>114048</v>
      </c>
      <c r="K451" s="15">
        <v>400</v>
      </c>
      <c r="L451" s="15">
        <v>83255.039999999994</v>
      </c>
      <c r="M451" s="16">
        <f t="shared" si="35"/>
        <v>208.13759999999999</v>
      </c>
      <c r="N451" s="15">
        <v>0</v>
      </c>
      <c r="O451" s="16">
        <f t="shared" si="36"/>
        <v>114048</v>
      </c>
      <c r="P451" s="15" t="s">
        <v>18</v>
      </c>
      <c r="Q451" s="15">
        <v>0.06</v>
      </c>
      <c r="R451" s="16">
        <f t="shared" si="37"/>
        <v>6842.88</v>
      </c>
      <c r="S451" s="15">
        <v>-3031</v>
      </c>
      <c r="T451" s="15">
        <v>0</v>
      </c>
      <c r="U451" s="17">
        <f t="shared" si="38"/>
        <v>3811.88</v>
      </c>
      <c r="V451" s="12" t="s">
        <v>50</v>
      </c>
      <c r="W451" s="12">
        <v>56</v>
      </c>
    </row>
    <row r="452" spans="4:23" s="12" customFormat="1" ht="30.75" customHeight="1" thickTop="1" thickBot="1" x14ac:dyDescent="0.35">
      <c r="D452" s="10"/>
      <c r="G452" s="13">
        <f t="shared" ref="G452:G515" si="39">G451+1</f>
        <v>451</v>
      </c>
      <c r="H452" s="18">
        <v>45797</v>
      </c>
      <c r="I452" s="36" t="s">
        <v>20</v>
      </c>
      <c r="J452" s="15">
        <v>864</v>
      </c>
      <c r="K452" s="15">
        <v>3</v>
      </c>
      <c r="L452" s="15">
        <v>812.16</v>
      </c>
      <c r="M452" s="16">
        <f t="shared" si="35"/>
        <v>270.71999999999997</v>
      </c>
      <c r="N452" s="15">
        <v>0</v>
      </c>
      <c r="O452" s="16">
        <f t="shared" si="36"/>
        <v>864</v>
      </c>
      <c r="P452" s="15" t="s">
        <v>18</v>
      </c>
      <c r="Q452" s="15">
        <v>0.06</v>
      </c>
      <c r="R452" s="16">
        <f t="shared" si="37"/>
        <v>51.839999999999996</v>
      </c>
      <c r="S452" s="15">
        <v>13200</v>
      </c>
      <c r="T452" s="15">
        <v>0</v>
      </c>
      <c r="U452" s="17">
        <f t="shared" si="38"/>
        <v>13251.84</v>
      </c>
      <c r="V452" s="12" t="s">
        <v>50</v>
      </c>
      <c r="W452" s="12">
        <v>56</v>
      </c>
    </row>
    <row r="453" spans="4:23" s="12" customFormat="1" ht="30.75" customHeight="1" thickTop="1" thickBot="1" x14ac:dyDescent="0.35">
      <c r="D453" s="10"/>
      <c r="G453" s="13">
        <f t="shared" si="39"/>
        <v>452</v>
      </c>
      <c r="H453" s="18">
        <v>45797</v>
      </c>
      <c r="I453" s="15" t="s">
        <v>23</v>
      </c>
      <c r="J453" s="15">
        <v>36000</v>
      </c>
      <c r="K453" s="15">
        <v>200</v>
      </c>
      <c r="L453" s="15">
        <v>33840</v>
      </c>
      <c r="M453" s="16">
        <f t="shared" si="35"/>
        <v>169.2</v>
      </c>
      <c r="N453" s="15">
        <v>0</v>
      </c>
      <c r="O453" s="16">
        <f t="shared" si="36"/>
        <v>36000</v>
      </c>
      <c r="P453" s="15" t="s">
        <v>18</v>
      </c>
      <c r="Q453" s="15">
        <v>0.06</v>
      </c>
      <c r="R453" s="16">
        <f t="shared" si="37"/>
        <v>2160</v>
      </c>
      <c r="S453" s="15">
        <v>0</v>
      </c>
      <c r="T453" s="15">
        <v>0</v>
      </c>
      <c r="U453" s="17">
        <f t="shared" si="38"/>
        <v>2160</v>
      </c>
      <c r="V453" s="12" t="s">
        <v>50</v>
      </c>
      <c r="W453" s="12">
        <v>56</v>
      </c>
    </row>
    <row r="454" spans="4:23" s="10" customFormat="1" ht="30.75" customHeight="1" thickTop="1" thickBot="1" x14ac:dyDescent="0.35">
      <c r="G454" s="25">
        <f t="shared" si="39"/>
        <v>453</v>
      </c>
      <c r="H454" s="26">
        <v>45797</v>
      </c>
      <c r="I454" s="16" t="s">
        <v>31</v>
      </c>
      <c r="J454" s="16">
        <v>3600</v>
      </c>
      <c r="K454" s="16">
        <v>20</v>
      </c>
      <c r="L454" s="16">
        <v>3166</v>
      </c>
      <c r="M454" s="16">
        <f t="shared" si="35"/>
        <v>158.30000000000001</v>
      </c>
      <c r="N454" s="15">
        <v>0</v>
      </c>
      <c r="O454" s="16">
        <f t="shared" si="36"/>
        <v>3600</v>
      </c>
      <c r="P454" s="16" t="s">
        <v>18</v>
      </c>
      <c r="Q454" s="16">
        <v>0.06</v>
      </c>
      <c r="R454" s="16">
        <f t="shared" si="37"/>
        <v>216</v>
      </c>
      <c r="S454" s="15">
        <v>0</v>
      </c>
      <c r="T454" s="15">
        <v>0</v>
      </c>
      <c r="U454" s="17">
        <f t="shared" si="38"/>
        <v>216</v>
      </c>
      <c r="V454" s="12" t="s">
        <v>50</v>
      </c>
      <c r="W454" s="12">
        <v>56</v>
      </c>
    </row>
    <row r="455" spans="4:23" s="12" customFormat="1" ht="30.75" customHeight="1" thickTop="1" thickBot="1" x14ac:dyDescent="0.35">
      <c r="D455" s="10"/>
      <c r="G455" s="13">
        <f t="shared" si="39"/>
        <v>454</v>
      </c>
      <c r="H455" s="18">
        <v>45801</v>
      </c>
      <c r="I455" s="15" t="s">
        <v>30</v>
      </c>
      <c r="J455" s="15">
        <v>57024</v>
      </c>
      <c r="K455" s="15">
        <v>200</v>
      </c>
      <c r="L455" s="15">
        <v>41627.519999999997</v>
      </c>
      <c r="M455" s="16">
        <f t="shared" si="35"/>
        <v>208.13759999999999</v>
      </c>
      <c r="N455" s="15">
        <v>0</v>
      </c>
      <c r="O455" s="16">
        <f t="shared" si="36"/>
        <v>57024</v>
      </c>
      <c r="P455" s="15" t="s">
        <v>18</v>
      </c>
      <c r="Q455" s="15">
        <v>0.06</v>
      </c>
      <c r="R455" s="16">
        <f t="shared" si="37"/>
        <v>3421.44</v>
      </c>
      <c r="S455" s="15">
        <v>0</v>
      </c>
      <c r="T455" s="15">
        <v>0</v>
      </c>
      <c r="U455" s="17">
        <f t="shared" si="38"/>
        <v>3421.44</v>
      </c>
      <c r="V455" s="12" t="s">
        <v>123</v>
      </c>
      <c r="W455" s="12">
        <v>57</v>
      </c>
    </row>
    <row r="456" spans="4:23" s="12" customFormat="1" ht="30.75" customHeight="1" thickTop="1" thickBot="1" x14ac:dyDescent="0.35">
      <c r="D456" s="10"/>
      <c r="G456" s="13">
        <f t="shared" si="39"/>
        <v>455</v>
      </c>
      <c r="H456" s="18">
        <v>45801</v>
      </c>
      <c r="I456" s="15" t="s">
        <v>17</v>
      </c>
      <c r="J456" s="15">
        <v>94089.600000000006</v>
      </c>
      <c r="K456" s="15">
        <v>330</v>
      </c>
      <c r="L456" s="15">
        <v>68685.41</v>
      </c>
      <c r="M456" s="16">
        <f t="shared" si="35"/>
        <v>208.13760606060606</v>
      </c>
      <c r="N456" s="15">
        <v>0</v>
      </c>
      <c r="O456" s="16">
        <f t="shared" si="36"/>
        <v>94089.600000000006</v>
      </c>
      <c r="P456" s="15" t="s">
        <v>18</v>
      </c>
      <c r="Q456" s="15">
        <v>0.06</v>
      </c>
      <c r="R456" s="16">
        <f t="shared" si="37"/>
        <v>5645.3760000000002</v>
      </c>
      <c r="S456" s="15">
        <v>0</v>
      </c>
      <c r="T456" s="15">
        <v>0</v>
      </c>
      <c r="U456" s="17">
        <f t="shared" si="38"/>
        <v>5645.3760000000002</v>
      </c>
      <c r="V456" s="12" t="s">
        <v>123</v>
      </c>
      <c r="W456" s="12">
        <v>57</v>
      </c>
    </row>
    <row r="457" spans="4:23" s="12" customFormat="1" ht="30.75" customHeight="1" thickTop="1" thickBot="1" x14ac:dyDescent="0.35">
      <c r="D457" s="10"/>
      <c r="G457" s="13">
        <f t="shared" si="39"/>
        <v>456</v>
      </c>
      <c r="H457" s="18">
        <v>45801</v>
      </c>
      <c r="I457" s="36" t="s">
        <v>20</v>
      </c>
      <c r="J457" s="15">
        <v>864</v>
      </c>
      <c r="K457" s="15">
        <v>3</v>
      </c>
      <c r="L457" s="15">
        <v>812.16</v>
      </c>
      <c r="M457" s="16">
        <f t="shared" si="35"/>
        <v>270.71999999999997</v>
      </c>
      <c r="N457" s="15">
        <v>0</v>
      </c>
      <c r="O457" s="16">
        <f t="shared" si="36"/>
        <v>864</v>
      </c>
      <c r="P457" s="15" t="s">
        <v>18</v>
      </c>
      <c r="Q457" s="15">
        <v>0.06</v>
      </c>
      <c r="R457" s="16">
        <f t="shared" si="37"/>
        <v>51.839999999999996</v>
      </c>
      <c r="S457" s="15">
        <v>0</v>
      </c>
      <c r="T457" s="15">
        <v>0</v>
      </c>
      <c r="U457" s="17">
        <f t="shared" si="38"/>
        <v>51.839999999999996</v>
      </c>
      <c r="V457" s="12" t="s">
        <v>123</v>
      </c>
      <c r="W457" s="12">
        <v>57</v>
      </c>
    </row>
    <row r="458" spans="4:23" s="12" customFormat="1" ht="30.75" customHeight="1" thickTop="1" thickBot="1" x14ac:dyDescent="0.35">
      <c r="D458" s="10"/>
      <c r="G458" s="13">
        <f t="shared" si="39"/>
        <v>457</v>
      </c>
      <c r="H458" s="18">
        <v>45801</v>
      </c>
      <c r="I458" s="15" t="s">
        <v>21</v>
      </c>
      <c r="J458" s="15">
        <v>3571.2</v>
      </c>
      <c r="K458" s="15">
        <v>16</v>
      </c>
      <c r="L458" s="15">
        <v>3356.93</v>
      </c>
      <c r="M458" s="16">
        <f t="shared" si="35"/>
        <v>209.80812499999999</v>
      </c>
      <c r="N458" s="15">
        <v>0</v>
      </c>
      <c r="O458" s="16">
        <f t="shared" si="36"/>
        <v>3571.2</v>
      </c>
      <c r="P458" s="15" t="s">
        <v>18</v>
      </c>
      <c r="Q458" s="15">
        <v>0.06</v>
      </c>
      <c r="R458" s="16">
        <f t="shared" si="37"/>
        <v>214.27199999999999</v>
      </c>
      <c r="S458" s="15">
        <v>0</v>
      </c>
      <c r="T458" s="15">
        <v>0</v>
      </c>
      <c r="U458" s="17">
        <f t="shared" si="38"/>
        <v>214.27199999999999</v>
      </c>
      <c r="V458" s="12" t="s">
        <v>123</v>
      </c>
      <c r="W458" s="12">
        <v>57</v>
      </c>
    </row>
    <row r="459" spans="4:23" s="12" customFormat="1" ht="30.75" customHeight="1" thickTop="1" thickBot="1" x14ac:dyDescent="0.35">
      <c r="D459" s="10"/>
      <c r="G459" s="13">
        <f t="shared" si="39"/>
        <v>458</v>
      </c>
      <c r="H459" s="18">
        <v>45801</v>
      </c>
      <c r="I459" s="15" t="s">
        <v>22</v>
      </c>
      <c r="J459" s="15">
        <v>2692.5</v>
      </c>
      <c r="K459" s="15">
        <v>10</v>
      </c>
      <c r="L459" s="15">
        <v>2530.9499999999998</v>
      </c>
      <c r="M459" s="16">
        <f t="shared" si="35"/>
        <v>253.09499999999997</v>
      </c>
      <c r="N459" s="15">
        <v>0</v>
      </c>
      <c r="O459" s="16">
        <f t="shared" si="36"/>
        <v>2692.5</v>
      </c>
      <c r="P459" s="15" t="s">
        <v>18</v>
      </c>
      <c r="Q459" s="15">
        <v>0.06</v>
      </c>
      <c r="R459" s="16">
        <f t="shared" si="37"/>
        <v>161.54999999999998</v>
      </c>
      <c r="S459" s="15">
        <v>0</v>
      </c>
      <c r="T459" s="15">
        <v>0</v>
      </c>
      <c r="U459" s="17">
        <f t="shared" si="38"/>
        <v>161.54999999999998</v>
      </c>
      <c r="V459" s="12" t="s">
        <v>123</v>
      </c>
      <c r="W459" s="12">
        <v>57</v>
      </c>
    </row>
    <row r="460" spans="4:23" s="12" customFormat="1" ht="30.75" customHeight="1" thickTop="1" thickBot="1" x14ac:dyDescent="0.35">
      <c r="D460" s="10"/>
      <c r="G460" s="13">
        <f t="shared" si="39"/>
        <v>459</v>
      </c>
      <c r="H460" s="18">
        <v>45801</v>
      </c>
      <c r="I460" s="15" t="s">
        <v>23</v>
      </c>
      <c r="J460" s="15">
        <v>36000</v>
      </c>
      <c r="K460" s="15">
        <v>200</v>
      </c>
      <c r="L460" s="15">
        <v>33840</v>
      </c>
      <c r="M460" s="16">
        <f t="shared" si="35"/>
        <v>169.2</v>
      </c>
      <c r="N460" s="15">
        <v>0</v>
      </c>
      <c r="O460" s="16">
        <f t="shared" si="36"/>
        <v>36000</v>
      </c>
      <c r="P460" s="15" t="s">
        <v>18</v>
      </c>
      <c r="Q460" s="15">
        <v>0.06</v>
      </c>
      <c r="R460" s="16">
        <f t="shared" si="37"/>
        <v>2160</v>
      </c>
      <c r="S460" s="15">
        <v>0</v>
      </c>
      <c r="T460" s="15">
        <v>0</v>
      </c>
      <c r="U460" s="17">
        <f t="shared" si="38"/>
        <v>2160</v>
      </c>
      <c r="V460" s="12" t="s">
        <v>123</v>
      </c>
      <c r="W460" s="12">
        <v>57</v>
      </c>
    </row>
    <row r="461" spans="4:23" s="12" customFormat="1" ht="30.75" customHeight="1" thickTop="1" thickBot="1" x14ac:dyDescent="0.35">
      <c r="D461" s="10"/>
      <c r="G461" s="13">
        <f t="shared" si="39"/>
        <v>460</v>
      </c>
      <c r="H461" s="18">
        <v>45801</v>
      </c>
      <c r="I461" s="15" t="s">
        <v>24</v>
      </c>
      <c r="J461" s="15">
        <v>7626</v>
      </c>
      <c r="K461" s="15">
        <v>25</v>
      </c>
      <c r="L461" s="15">
        <v>7168.44</v>
      </c>
      <c r="M461" s="16">
        <f t="shared" si="35"/>
        <v>286.73759999999999</v>
      </c>
      <c r="N461" s="15">
        <v>0</v>
      </c>
      <c r="O461" s="16">
        <f t="shared" si="36"/>
        <v>7626</v>
      </c>
      <c r="P461" s="15" t="s">
        <v>18</v>
      </c>
      <c r="Q461" s="15">
        <v>0.06</v>
      </c>
      <c r="R461" s="16">
        <f t="shared" si="37"/>
        <v>457.56</v>
      </c>
      <c r="S461" s="15">
        <v>0</v>
      </c>
      <c r="T461" s="15">
        <v>0</v>
      </c>
      <c r="U461" s="17">
        <f t="shared" si="38"/>
        <v>457.56</v>
      </c>
      <c r="V461" s="12" t="s">
        <v>123</v>
      </c>
      <c r="W461" s="12">
        <v>57</v>
      </c>
    </row>
    <row r="462" spans="4:23" s="12" customFormat="1" ht="30.75" customHeight="1" thickTop="1" thickBot="1" x14ac:dyDescent="0.35">
      <c r="D462" s="10"/>
      <c r="G462" s="13">
        <f t="shared" si="39"/>
        <v>461</v>
      </c>
      <c r="H462" s="18">
        <v>45801</v>
      </c>
      <c r="I462" s="15" t="s">
        <v>31</v>
      </c>
      <c r="J462" s="15">
        <v>7200</v>
      </c>
      <c r="K462" s="15">
        <v>40</v>
      </c>
      <c r="L462" s="15">
        <v>6768</v>
      </c>
      <c r="M462" s="16">
        <f t="shared" si="35"/>
        <v>169.2</v>
      </c>
      <c r="N462" s="15">
        <v>0</v>
      </c>
      <c r="O462" s="16">
        <f t="shared" si="36"/>
        <v>7200</v>
      </c>
      <c r="P462" s="15" t="s">
        <v>18</v>
      </c>
      <c r="Q462" s="15">
        <v>0.06</v>
      </c>
      <c r="R462" s="16">
        <f t="shared" si="37"/>
        <v>432</v>
      </c>
      <c r="S462" s="15">
        <v>0</v>
      </c>
      <c r="T462" s="15">
        <v>0</v>
      </c>
      <c r="U462" s="17">
        <f t="shared" si="38"/>
        <v>432</v>
      </c>
      <c r="V462" s="12" t="s">
        <v>123</v>
      </c>
      <c r="W462" s="12">
        <v>57</v>
      </c>
    </row>
    <row r="463" spans="4:23" s="12" customFormat="1" ht="30.75" customHeight="1" thickTop="1" thickBot="1" x14ac:dyDescent="0.35">
      <c r="D463" s="10"/>
      <c r="G463" s="13">
        <f t="shared" si="39"/>
        <v>462</v>
      </c>
      <c r="H463" s="18">
        <v>45801</v>
      </c>
      <c r="I463" s="15" t="s">
        <v>36</v>
      </c>
      <c r="J463" s="15">
        <v>610</v>
      </c>
      <c r="K463" s="15">
        <v>2</v>
      </c>
      <c r="L463" s="15">
        <v>573.48</v>
      </c>
      <c r="M463" s="16">
        <f t="shared" si="35"/>
        <v>286.74</v>
      </c>
      <c r="N463" s="15">
        <v>0</v>
      </c>
      <c r="O463" s="16">
        <f t="shared" si="36"/>
        <v>610</v>
      </c>
      <c r="P463" s="15" t="s">
        <v>18</v>
      </c>
      <c r="Q463" s="15">
        <v>0.06</v>
      </c>
      <c r="R463" s="16">
        <f t="shared" si="37"/>
        <v>36.6</v>
      </c>
      <c r="S463" s="15">
        <v>0</v>
      </c>
      <c r="T463" s="15">
        <v>0</v>
      </c>
      <c r="U463" s="17">
        <f t="shared" si="38"/>
        <v>36.6</v>
      </c>
      <c r="V463" s="12" t="s">
        <v>123</v>
      </c>
      <c r="W463" s="12">
        <v>57</v>
      </c>
    </row>
    <row r="464" spans="4:23" s="12" customFormat="1" ht="30.75" customHeight="1" thickTop="1" thickBot="1" x14ac:dyDescent="0.35">
      <c r="D464" s="10"/>
      <c r="G464" s="13">
        <f t="shared" si="39"/>
        <v>463</v>
      </c>
      <c r="H464" s="18">
        <v>45803</v>
      </c>
      <c r="I464" s="36" t="s">
        <v>47</v>
      </c>
      <c r="J464" s="15">
        <v>27909</v>
      </c>
      <c r="K464" s="15">
        <v>75</v>
      </c>
      <c r="L464" s="15">
        <v>26234.46</v>
      </c>
      <c r="M464" s="16">
        <f t="shared" si="35"/>
        <v>349.7928</v>
      </c>
      <c r="N464" s="15">
        <v>0</v>
      </c>
      <c r="O464" s="16">
        <f t="shared" si="36"/>
        <v>27909</v>
      </c>
      <c r="P464" s="15" t="s">
        <v>26</v>
      </c>
      <c r="Q464" s="15">
        <v>0.02</v>
      </c>
      <c r="R464" s="16">
        <f t="shared" si="37"/>
        <v>558.18000000000006</v>
      </c>
      <c r="S464" s="15">
        <v>0</v>
      </c>
      <c r="T464" s="15">
        <v>0</v>
      </c>
      <c r="U464" s="17">
        <f t="shared" si="38"/>
        <v>558.18000000000006</v>
      </c>
      <c r="V464" s="12" t="s">
        <v>123</v>
      </c>
      <c r="W464" s="12">
        <v>58</v>
      </c>
    </row>
    <row r="465" spans="4:23" s="12" customFormat="1" ht="30.75" customHeight="1" thickTop="1" thickBot="1" x14ac:dyDescent="0.35">
      <c r="D465" s="10"/>
      <c r="G465" s="13">
        <f t="shared" si="39"/>
        <v>464</v>
      </c>
      <c r="H465" s="18">
        <v>45803</v>
      </c>
      <c r="I465" s="36" t="s">
        <v>39</v>
      </c>
      <c r="J465" s="15">
        <v>18006</v>
      </c>
      <c r="K465" s="15">
        <v>50</v>
      </c>
      <c r="L465" s="15">
        <v>16925.64</v>
      </c>
      <c r="M465" s="16">
        <f t="shared" si="35"/>
        <v>338.51279999999997</v>
      </c>
      <c r="N465" s="15">
        <v>0</v>
      </c>
      <c r="O465" s="16">
        <f t="shared" si="36"/>
        <v>18006</v>
      </c>
      <c r="P465" s="15" t="s">
        <v>26</v>
      </c>
      <c r="Q465" s="15">
        <v>0.02</v>
      </c>
      <c r="R465" s="16">
        <f t="shared" si="37"/>
        <v>360.12</v>
      </c>
      <c r="S465" s="15">
        <v>0</v>
      </c>
      <c r="T465" s="15">
        <v>0</v>
      </c>
      <c r="U465" s="17">
        <f t="shared" si="38"/>
        <v>360.12</v>
      </c>
      <c r="V465" s="12" t="s">
        <v>123</v>
      </c>
      <c r="W465" s="12">
        <v>58</v>
      </c>
    </row>
    <row r="466" spans="4:23" s="12" customFormat="1" ht="30.75" customHeight="1" thickTop="1" thickBot="1" x14ac:dyDescent="0.35">
      <c r="D466" s="10"/>
      <c r="G466" s="13">
        <f t="shared" si="39"/>
        <v>465</v>
      </c>
      <c r="H466" s="18">
        <v>45803</v>
      </c>
      <c r="I466" s="36" t="s">
        <v>39</v>
      </c>
      <c r="J466" s="15">
        <v>27009</v>
      </c>
      <c r="K466" s="15">
        <v>75</v>
      </c>
      <c r="L466" s="15">
        <v>25388.46</v>
      </c>
      <c r="M466" s="16">
        <f t="shared" si="35"/>
        <v>338.51279999999997</v>
      </c>
      <c r="N466" s="15">
        <v>0</v>
      </c>
      <c r="O466" s="16">
        <f t="shared" si="36"/>
        <v>27009</v>
      </c>
      <c r="P466" s="15" t="s">
        <v>26</v>
      </c>
      <c r="Q466" s="15">
        <v>0.02</v>
      </c>
      <c r="R466" s="16">
        <f t="shared" si="37"/>
        <v>540.18000000000006</v>
      </c>
      <c r="S466" s="15">
        <v>0</v>
      </c>
      <c r="T466" s="15">
        <v>0</v>
      </c>
      <c r="U466" s="17">
        <f t="shared" si="38"/>
        <v>540.18000000000006</v>
      </c>
      <c r="V466" s="12" t="s">
        <v>123</v>
      </c>
      <c r="W466" s="12">
        <v>58</v>
      </c>
    </row>
    <row r="467" spans="4:23" s="12" customFormat="1" ht="30.75" customHeight="1" thickTop="1" thickBot="1" x14ac:dyDescent="0.35">
      <c r="D467" s="10"/>
      <c r="G467" s="13">
        <f t="shared" si="39"/>
        <v>466</v>
      </c>
      <c r="H467" s="18">
        <v>45803</v>
      </c>
      <c r="I467" s="15" t="s">
        <v>30</v>
      </c>
      <c r="J467" s="15">
        <v>71280</v>
      </c>
      <c r="K467" s="15">
        <v>250</v>
      </c>
      <c r="L467" s="15">
        <v>52034.400000000001</v>
      </c>
      <c r="M467" s="16">
        <f t="shared" si="35"/>
        <v>208.13759999999999</v>
      </c>
      <c r="N467" s="15">
        <v>0</v>
      </c>
      <c r="O467" s="16">
        <f t="shared" si="36"/>
        <v>71280</v>
      </c>
      <c r="P467" s="15" t="s">
        <v>18</v>
      </c>
      <c r="Q467" s="15">
        <v>0.06</v>
      </c>
      <c r="R467" s="16">
        <f t="shared" si="37"/>
        <v>4276.8</v>
      </c>
      <c r="S467" s="15">
        <v>0</v>
      </c>
      <c r="T467" s="15">
        <v>0</v>
      </c>
      <c r="U467" s="17">
        <f t="shared" si="38"/>
        <v>4276.8</v>
      </c>
      <c r="V467" s="12" t="s">
        <v>123</v>
      </c>
      <c r="W467" s="12">
        <v>58</v>
      </c>
    </row>
    <row r="468" spans="4:23" s="12" customFormat="1" ht="30.75" customHeight="1" thickTop="1" thickBot="1" x14ac:dyDescent="0.35">
      <c r="D468" s="10"/>
      <c r="G468" s="13">
        <f t="shared" si="39"/>
        <v>467</v>
      </c>
      <c r="H468" s="18">
        <v>45803</v>
      </c>
      <c r="I468" s="15" t="s">
        <v>17</v>
      </c>
      <c r="J468" s="15">
        <v>111196.8</v>
      </c>
      <c r="K468" s="15">
        <v>390</v>
      </c>
      <c r="L468" s="15">
        <v>81173.66</v>
      </c>
      <c r="M468" s="16">
        <f t="shared" si="35"/>
        <v>208.13758974358976</v>
      </c>
      <c r="N468" s="15">
        <v>0</v>
      </c>
      <c r="O468" s="16">
        <f t="shared" si="36"/>
        <v>111196.8</v>
      </c>
      <c r="P468" s="15" t="s">
        <v>18</v>
      </c>
      <c r="Q468" s="15">
        <v>0.06</v>
      </c>
      <c r="R468" s="16">
        <f t="shared" si="37"/>
        <v>6671.808</v>
      </c>
      <c r="S468" s="15">
        <v>0</v>
      </c>
      <c r="T468" s="15">
        <v>0</v>
      </c>
      <c r="U468" s="17">
        <f t="shared" si="38"/>
        <v>6671.808</v>
      </c>
      <c r="V468" s="12" t="s">
        <v>123</v>
      </c>
      <c r="W468" s="12">
        <v>58</v>
      </c>
    </row>
    <row r="469" spans="4:23" s="12" customFormat="1" ht="30.75" customHeight="1" thickTop="1" thickBot="1" x14ac:dyDescent="0.35">
      <c r="D469" s="10"/>
      <c r="G469" s="13">
        <f t="shared" si="39"/>
        <v>468</v>
      </c>
      <c r="H469" s="18">
        <v>45803</v>
      </c>
      <c r="I469" s="15" t="s">
        <v>21</v>
      </c>
      <c r="J469" s="15">
        <v>4464</v>
      </c>
      <c r="K469" s="15">
        <v>20</v>
      </c>
      <c r="L469" s="15">
        <v>4196.16</v>
      </c>
      <c r="M469" s="16">
        <f t="shared" si="35"/>
        <v>209.80799999999999</v>
      </c>
      <c r="N469" s="15">
        <v>0</v>
      </c>
      <c r="O469" s="16">
        <f t="shared" si="36"/>
        <v>4464</v>
      </c>
      <c r="P469" s="15" t="s">
        <v>18</v>
      </c>
      <c r="Q469" s="15">
        <v>0.06</v>
      </c>
      <c r="R469" s="16">
        <f t="shared" si="37"/>
        <v>267.83999999999997</v>
      </c>
      <c r="S469" s="15">
        <v>0</v>
      </c>
      <c r="T469" s="15">
        <v>0</v>
      </c>
      <c r="U469" s="17">
        <f t="shared" si="38"/>
        <v>267.83999999999997</v>
      </c>
      <c r="V469" s="12" t="s">
        <v>123</v>
      </c>
      <c r="W469" s="12">
        <v>58</v>
      </c>
    </row>
    <row r="470" spans="4:23" s="12" customFormat="1" ht="30.75" customHeight="1" thickTop="1" thickBot="1" x14ac:dyDescent="0.35">
      <c r="D470" s="10"/>
      <c r="G470" s="13">
        <f t="shared" si="39"/>
        <v>469</v>
      </c>
      <c r="H470" s="18">
        <v>45803</v>
      </c>
      <c r="I470" s="15" t="s">
        <v>23</v>
      </c>
      <c r="J470" s="15">
        <v>45000</v>
      </c>
      <c r="K470" s="15">
        <v>250</v>
      </c>
      <c r="L470" s="15">
        <v>42300</v>
      </c>
      <c r="M470" s="16">
        <f t="shared" si="35"/>
        <v>169.2</v>
      </c>
      <c r="N470" s="15">
        <v>0</v>
      </c>
      <c r="O470" s="16">
        <f t="shared" si="36"/>
        <v>45000</v>
      </c>
      <c r="P470" s="15" t="s">
        <v>18</v>
      </c>
      <c r="Q470" s="15">
        <v>0.06</v>
      </c>
      <c r="R470" s="16">
        <f t="shared" si="37"/>
        <v>2700</v>
      </c>
      <c r="S470" s="15">
        <v>0</v>
      </c>
      <c r="T470" s="15">
        <v>0</v>
      </c>
      <c r="U470" s="17">
        <f t="shared" si="38"/>
        <v>2700</v>
      </c>
      <c r="V470" s="12" t="s">
        <v>123</v>
      </c>
      <c r="W470" s="12">
        <v>58</v>
      </c>
    </row>
    <row r="471" spans="4:23" s="12" customFormat="1" ht="30.75" customHeight="1" thickTop="1" thickBot="1" x14ac:dyDescent="0.35">
      <c r="D471" s="10"/>
      <c r="G471" s="13">
        <f t="shared" si="39"/>
        <v>470</v>
      </c>
      <c r="H471" s="18">
        <v>45803</v>
      </c>
      <c r="I471" s="15" t="s">
        <v>31</v>
      </c>
      <c r="J471" s="15">
        <v>7200</v>
      </c>
      <c r="K471" s="15">
        <v>40</v>
      </c>
      <c r="L471" s="15">
        <v>6768</v>
      </c>
      <c r="M471" s="16">
        <f t="shared" si="35"/>
        <v>169.2</v>
      </c>
      <c r="N471" s="15">
        <v>0</v>
      </c>
      <c r="O471" s="16">
        <f t="shared" si="36"/>
        <v>7200</v>
      </c>
      <c r="P471" s="15" t="s">
        <v>18</v>
      </c>
      <c r="Q471" s="15">
        <v>0.06</v>
      </c>
      <c r="R471" s="16">
        <f t="shared" si="37"/>
        <v>432</v>
      </c>
      <c r="S471" s="15">
        <v>0</v>
      </c>
      <c r="T471" s="15">
        <v>0</v>
      </c>
      <c r="U471" s="17">
        <f t="shared" si="38"/>
        <v>432</v>
      </c>
      <c r="V471" s="12" t="s">
        <v>123</v>
      </c>
      <c r="W471" s="12">
        <v>58</v>
      </c>
    </row>
    <row r="472" spans="4:23" s="12" customFormat="1" ht="30.75" customHeight="1" thickTop="1" thickBot="1" x14ac:dyDescent="0.35">
      <c r="D472" s="10"/>
      <c r="G472" s="13">
        <f t="shared" si="39"/>
        <v>471</v>
      </c>
      <c r="H472" s="18">
        <v>45803</v>
      </c>
      <c r="I472" s="15" t="s">
        <v>36</v>
      </c>
      <c r="J472" s="15">
        <v>610</v>
      </c>
      <c r="K472" s="15">
        <v>2</v>
      </c>
      <c r="L472" s="15">
        <v>573.48</v>
      </c>
      <c r="M472" s="16">
        <f t="shared" si="35"/>
        <v>286.74</v>
      </c>
      <c r="N472" s="15">
        <v>0</v>
      </c>
      <c r="O472" s="16">
        <f t="shared" si="36"/>
        <v>610</v>
      </c>
      <c r="P472" s="15" t="s">
        <v>18</v>
      </c>
      <c r="Q472" s="15">
        <v>0.06</v>
      </c>
      <c r="R472" s="16">
        <f t="shared" si="37"/>
        <v>36.6</v>
      </c>
      <c r="S472" s="15">
        <v>0</v>
      </c>
      <c r="T472" s="15">
        <v>0</v>
      </c>
      <c r="U472" s="17">
        <f t="shared" si="38"/>
        <v>36.6</v>
      </c>
      <c r="V472" s="12" t="s">
        <v>123</v>
      </c>
      <c r="W472" s="12">
        <v>58</v>
      </c>
    </row>
    <row r="473" spans="4:23" s="12" customFormat="1" ht="30.75" customHeight="1" thickTop="1" thickBot="1" x14ac:dyDescent="0.35">
      <c r="D473" s="10"/>
      <c r="G473" s="13">
        <f t="shared" si="39"/>
        <v>472</v>
      </c>
      <c r="H473" s="18">
        <v>45805</v>
      </c>
      <c r="I473" s="15" t="s">
        <v>30</v>
      </c>
      <c r="J473" s="15">
        <v>57024</v>
      </c>
      <c r="K473" s="15">
        <v>200</v>
      </c>
      <c r="L473" s="15">
        <v>41627.519999999997</v>
      </c>
      <c r="M473" s="16">
        <f t="shared" si="35"/>
        <v>208.13759999999999</v>
      </c>
      <c r="N473" s="15">
        <v>0</v>
      </c>
      <c r="O473" s="16">
        <f t="shared" si="36"/>
        <v>57024</v>
      </c>
      <c r="P473" s="15" t="s">
        <v>18</v>
      </c>
      <c r="Q473" s="15">
        <v>0.06</v>
      </c>
      <c r="R473" s="16">
        <f t="shared" si="37"/>
        <v>3421.44</v>
      </c>
      <c r="S473" s="15">
        <v>0</v>
      </c>
      <c r="T473" s="15">
        <v>0</v>
      </c>
      <c r="U473" s="17">
        <f t="shared" si="38"/>
        <v>3421.44</v>
      </c>
      <c r="V473" s="12" t="s">
        <v>123</v>
      </c>
      <c r="W473" s="12">
        <v>59</v>
      </c>
    </row>
    <row r="474" spans="4:23" s="12" customFormat="1" ht="30.75" customHeight="1" thickTop="1" thickBot="1" x14ac:dyDescent="0.35">
      <c r="D474" s="10"/>
      <c r="G474" s="13">
        <f t="shared" si="39"/>
        <v>473</v>
      </c>
      <c r="H474" s="18">
        <v>45805</v>
      </c>
      <c r="I474" s="15" t="s">
        <v>17</v>
      </c>
      <c r="J474" s="15">
        <v>99792</v>
      </c>
      <c r="K474" s="15">
        <v>350</v>
      </c>
      <c r="L474" s="15">
        <v>72848.160000000003</v>
      </c>
      <c r="M474" s="16">
        <f t="shared" si="35"/>
        <v>208.13760000000002</v>
      </c>
      <c r="N474" s="15">
        <v>0</v>
      </c>
      <c r="O474" s="16">
        <f t="shared" si="36"/>
        <v>99792</v>
      </c>
      <c r="P474" s="15" t="s">
        <v>18</v>
      </c>
      <c r="Q474" s="15">
        <v>0.06</v>
      </c>
      <c r="R474" s="16">
        <f t="shared" si="37"/>
        <v>5987.5199999999995</v>
      </c>
      <c r="S474" s="15">
        <v>0</v>
      </c>
      <c r="T474" s="15">
        <v>0</v>
      </c>
      <c r="U474" s="17">
        <f t="shared" si="38"/>
        <v>5987.5199999999995</v>
      </c>
      <c r="V474" s="12" t="s">
        <v>123</v>
      </c>
      <c r="W474" s="12">
        <v>59</v>
      </c>
    </row>
    <row r="475" spans="4:23" s="12" customFormat="1" ht="30.75" customHeight="1" thickTop="1" thickBot="1" x14ac:dyDescent="0.35">
      <c r="D475" s="10"/>
      <c r="G475" s="13">
        <f t="shared" si="39"/>
        <v>474</v>
      </c>
      <c r="H475" s="18">
        <v>45805</v>
      </c>
      <c r="I475" s="36" t="s">
        <v>20</v>
      </c>
      <c r="J475" s="15">
        <v>576</v>
      </c>
      <c r="K475" s="15">
        <v>2</v>
      </c>
      <c r="L475" s="15">
        <v>541.44000000000005</v>
      </c>
      <c r="M475" s="16">
        <f t="shared" si="35"/>
        <v>270.72000000000003</v>
      </c>
      <c r="N475" s="15">
        <v>0</v>
      </c>
      <c r="O475" s="16">
        <f t="shared" si="36"/>
        <v>576</v>
      </c>
      <c r="P475" s="15" t="s">
        <v>18</v>
      </c>
      <c r="Q475" s="15">
        <v>0.06</v>
      </c>
      <c r="R475" s="16">
        <f t="shared" si="37"/>
        <v>34.56</v>
      </c>
      <c r="S475" s="15">
        <v>0</v>
      </c>
      <c r="T475" s="15">
        <v>0</v>
      </c>
      <c r="U475" s="17">
        <f t="shared" si="38"/>
        <v>34.56</v>
      </c>
      <c r="V475" s="12" t="s">
        <v>123</v>
      </c>
      <c r="W475" s="12">
        <v>59</v>
      </c>
    </row>
    <row r="476" spans="4:23" s="12" customFormat="1" ht="30.75" customHeight="1" thickTop="1" thickBot="1" x14ac:dyDescent="0.35">
      <c r="D476" s="10"/>
      <c r="G476" s="13">
        <f t="shared" si="39"/>
        <v>475</v>
      </c>
      <c r="H476" s="18">
        <v>45805</v>
      </c>
      <c r="I476" s="15" t="s">
        <v>21</v>
      </c>
      <c r="J476" s="15">
        <v>2232</v>
      </c>
      <c r="K476" s="15">
        <v>10</v>
      </c>
      <c r="L476" s="15">
        <v>2098.08</v>
      </c>
      <c r="M476" s="16">
        <f t="shared" si="35"/>
        <v>209.80799999999999</v>
      </c>
      <c r="N476" s="15">
        <v>0</v>
      </c>
      <c r="O476" s="16">
        <f t="shared" si="36"/>
        <v>2232</v>
      </c>
      <c r="P476" s="15" t="s">
        <v>18</v>
      </c>
      <c r="Q476" s="15">
        <v>0.06</v>
      </c>
      <c r="R476" s="16">
        <f t="shared" si="37"/>
        <v>133.91999999999999</v>
      </c>
      <c r="S476" s="15">
        <v>0</v>
      </c>
      <c r="T476" s="15">
        <v>0</v>
      </c>
      <c r="U476" s="17">
        <f t="shared" si="38"/>
        <v>133.91999999999999</v>
      </c>
      <c r="V476" s="12" t="s">
        <v>123</v>
      </c>
      <c r="W476" s="12">
        <v>59</v>
      </c>
    </row>
    <row r="477" spans="4:23" s="12" customFormat="1" ht="30.75" customHeight="1" thickTop="1" thickBot="1" x14ac:dyDescent="0.35">
      <c r="D477" s="10"/>
      <c r="G477" s="13">
        <f t="shared" si="39"/>
        <v>476</v>
      </c>
      <c r="H477" s="18">
        <v>45805</v>
      </c>
      <c r="I477" s="15" t="s">
        <v>52</v>
      </c>
      <c r="J477" s="15">
        <v>12420</v>
      </c>
      <c r="K477" s="15">
        <v>15</v>
      </c>
      <c r="L477" s="15">
        <v>11674.8</v>
      </c>
      <c r="M477" s="16">
        <f t="shared" si="35"/>
        <v>778.31999999999994</v>
      </c>
      <c r="N477" s="15">
        <v>0</v>
      </c>
      <c r="O477" s="16">
        <f t="shared" si="36"/>
        <v>12420</v>
      </c>
      <c r="P477" s="15" t="s">
        <v>18</v>
      </c>
      <c r="Q477" s="15">
        <v>0.06</v>
      </c>
      <c r="R477" s="16">
        <f t="shared" si="37"/>
        <v>745.19999999999993</v>
      </c>
      <c r="S477" s="15">
        <v>0</v>
      </c>
      <c r="T477" s="15">
        <v>0</v>
      </c>
      <c r="U477" s="17">
        <f t="shared" si="38"/>
        <v>745.19999999999993</v>
      </c>
      <c r="V477" s="12" t="s">
        <v>123</v>
      </c>
      <c r="W477" s="12">
        <v>59</v>
      </c>
    </row>
    <row r="478" spans="4:23" s="12" customFormat="1" ht="30.75" customHeight="1" thickTop="1" thickBot="1" x14ac:dyDescent="0.35">
      <c r="D478" s="10"/>
      <c r="G478" s="13">
        <f t="shared" si="39"/>
        <v>477</v>
      </c>
      <c r="H478" s="18">
        <v>45805</v>
      </c>
      <c r="I478" s="15" t="s">
        <v>23</v>
      </c>
      <c r="J478" s="15">
        <v>27000</v>
      </c>
      <c r="K478" s="15">
        <v>150</v>
      </c>
      <c r="L478" s="15">
        <v>25380</v>
      </c>
      <c r="M478" s="16">
        <f t="shared" si="35"/>
        <v>169.2</v>
      </c>
      <c r="N478" s="15">
        <v>0</v>
      </c>
      <c r="O478" s="16">
        <f t="shared" si="36"/>
        <v>27000</v>
      </c>
      <c r="P478" s="15" t="s">
        <v>18</v>
      </c>
      <c r="Q478" s="15">
        <v>0.06</v>
      </c>
      <c r="R478" s="16">
        <f t="shared" si="37"/>
        <v>1620</v>
      </c>
      <c r="S478" s="15">
        <v>0</v>
      </c>
      <c r="T478" s="15">
        <v>0</v>
      </c>
      <c r="U478" s="17">
        <f t="shared" si="38"/>
        <v>1620</v>
      </c>
      <c r="V478" s="12" t="s">
        <v>123</v>
      </c>
      <c r="W478" s="12">
        <v>59</v>
      </c>
    </row>
    <row r="479" spans="4:23" s="12" customFormat="1" ht="30.75" customHeight="1" thickTop="1" thickBot="1" x14ac:dyDescent="0.35">
      <c r="D479" s="10"/>
      <c r="G479" s="13">
        <f t="shared" si="39"/>
        <v>478</v>
      </c>
      <c r="H479" s="18">
        <v>45805</v>
      </c>
      <c r="I479" s="15" t="s">
        <v>24</v>
      </c>
      <c r="J479" s="15">
        <v>3050.4</v>
      </c>
      <c r="K479" s="15">
        <v>10</v>
      </c>
      <c r="L479" s="15">
        <v>2867.38</v>
      </c>
      <c r="M479" s="16">
        <f t="shared" si="35"/>
        <v>286.738</v>
      </c>
      <c r="N479" s="15">
        <v>0</v>
      </c>
      <c r="O479" s="16">
        <f t="shared" si="36"/>
        <v>3050.4</v>
      </c>
      <c r="P479" s="15" t="s">
        <v>18</v>
      </c>
      <c r="Q479" s="15">
        <v>0.06</v>
      </c>
      <c r="R479" s="16">
        <f t="shared" si="37"/>
        <v>183.024</v>
      </c>
      <c r="S479" s="15">
        <v>0</v>
      </c>
      <c r="T479" s="15">
        <v>0</v>
      </c>
      <c r="U479" s="17">
        <f t="shared" si="38"/>
        <v>183.024</v>
      </c>
      <c r="V479" s="12" t="s">
        <v>123</v>
      </c>
      <c r="W479" s="12">
        <v>59</v>
      </c>
    </row>
    <row r="480" spans="4:23" s="12" customFormat="1" ht="30.75" customHeight="1" thickTop="1" thickBot="1" x14ac:dyDescent="0.35">
      <c r="D480" s="10"/>
      <c r="G480" s="13">
        <f t="shared" si="39"/>
        <v>479</v>
      </c>
      <c r="H480" s="18">
        <v>45805</v>
      </c>
      <c r="I480" s="15" t="s">
        <v>31</v>
      </c>
      <c r="J480" s="15">
        <v>5400</v>
      </c>
      <c r="K480" s="15">
        <v>30</v>
      </c>
      <c r="L480" s="15">
        <v>5075</v>
      </c>
      <c r="M480" s="16">
        <f t="shared" si="35"/>
        <v>169.16666666666666</v>
      </c>
      <c r="N480" s="15">
        <v>0</v>
      </c>
      <c r="O480" s="16">
        <f t="shared" si="36"/>
        <v>5400</v>
      </c>
      <c r="P480" s="15" t="s">
        <v>18</v>
      </c>
      <c r="Q480" s="15">
        <v>0.06</v>
      </c>
      <c r="R480" s="16">
        <f t="shared" si="37"/>
        <v>324</v>
      </c>
      <c r="S480" s="15">
        <v>0</v>
      </c>
      <c r="T480" s="15">
        <v>0</v>
      </c>
      <c r="U480" s="17">
        <f t="shared" si="38"/>
        <v>324</v>
      </c>
      <c r="V480" s="12" t="s">
        <v>123</v>
      </c>
      <c r="W480" s="12">
        <v>59</v>
      </c>
    </row>
    <row r="481" spans="4:23" s="12" customFormat="1" ht="30.75" customHeight="1" thickTop="1" thickBot="1" x14ac:dyDescent="0.35">
      <c r="D481" s="10"/>
      <c r="G481" s="13">
        <f t="shared" si="39"/>
        <v>480</v>
      </c>
      <c r="H481" s="18">
        <v>45805</v>
      </c>
      <c r="I481" s="15" t="s">
        <v>25</v>
      </c>
      <c r="J481" s="15">
        <v>66022</v>
      </c>
      <c r="K481" s="15">
        <v>275</v>
      </c>
      <c r="L481" s="15">
        <v>52309.23</v>
      </c>
      <c r="M481" s="16">
        <f t="shared" si="35"/>
        <v>190.21538181818184</v>
      </c>
      <c r="N481" s="15">
        <v>0</v>
      </c>
      <c r="O481" s="16">
        <f t="shared" si="36"/>
        <v>66022</v>
      </c>
      <c r="P481" s="15" t="s">
        <v>26</v>
      </c>
      <c r="Q481" s="15">
        <v>0.02</v>
      </c>
      <c r="R481" s="16">
        <f t="shared" si="37"/>
        <v>1320.44</v>
      </c>
      <c r="S481" s="15">
        <v>0</v>
      </c>
      <c r="T481" s="15">
        <v>0</v>
      </c>
      <c r="U481" s="17">
        <f t="shared" si="38"/>
        <v>1320.44</v>
      </c>
      <c r="V481" s="12" t="s">
        <v>123</v>
      </c>
      <c r="W481" s="12">
        <v>59</v>
      </c>
    </row>
    <row r="482" spans="4:23" s="12" customFormat="1" ht="30.75" customHeight="1" thickTop="1" thickBot="1" x14ac:dyDescent="0.35">
      <c r="D482" s="10"/>
      <c r="G482" s="13">
        <f t="shared" si="39"/>
        <v>481</v>
      </c>
      <c r="H482" s="18">
        <v>45808</v>
      </c>
      <c r="I482" s="15" t="s">
        <v>41</v>
      </c>
      <c r="J482" s="15">
        <v>13450.8</v>
      </c>
      <c r="K482" s="15">
        <v>100</v>
      </c>
      <c r="L482" s="15">
        <v>11036.38</v>
      </c>
      <c r="M482" s="16">
        <f t="shared" si="35"/>
        <v>110.3638</v>
      </c>
      <c r="N482" s="15">
        <v>0</v>
      </c>
      <c r="O482" s="16">
        <f t="shared" si="36"/>
        <v>13450.8</v>
      </c>
      <c r="P482" s="15" t="s">
        <v>26</v>
      </c>
      <c r="Q482" s="15">
        <v>0.02</v>
      </c>
      <c r="R482" s="16">
        <f t="shared" si="37"/>
        <v>269.01599999999996</v>
      </c>
      <c r="S482" s="15">
        <v>0</v>
      </c>
      <c r="T482" s="15">
        <v>0</v>
      </c>
      <c r="U482" s="17">
        <f t="shared" si="38"/>
        <v>269.01599999999996</v>
      </c>
      <c r="V482" s="12" t="s">
        <v>123</v>
      </c>
      <c r="W482" s="12">
        <v>60</v>
      </c>
    </row>
    <row r="483" spans="4:23" s="12" customFormat="1" ht="30.75" customHeight="1" thickTop="1" thickBot="1" x14ac:dyDescent="0.35">
      <c r="D483" s="10"/>
      <c r="G483" s="13">
        <f t="shared" si="39"/>
        <v>482</v>
      </c>
      <c r="H483" s="18">
        <v>45808</v>
      </c>
      <c r="I483" s="15" t="s">
        <v>30</v>
      </c>
      <c r="J483" s="15">
        <v>71280</v>
      </c>
      <c r="K483" s="15">
        <v>250</v>
      </c>
      <c r="L483" s="15">
        <v>52034.400000000001</v>
      </c>
      <c r="M483" s="16">
        <f t="shared" si="35"/>
        <v>208.13759999999999</v>
      </c>
      <c r="N483" s="15">
        <v>0</v>
      </c>
      <c r="O483" s="16">
        <f t="shared" si="36"/>
        <v>71280</v>
      </c>
      <c r="P483" s="15" t="s">
        <v>18</v>
      </c>
      <c r="Q483" s="15">
        <v>0.06</v>
      </c>
      <c r="R483" s="16">
        <f t="shared" si="37"/>
        <v>4276.8</v>
      </c>
      <c r="S483" s="15">
        <v>0</v>
      </c>
      <c r="T483" s="15">
        <v>0</v>
      </c>
      <c r="U483" s="17">
        <f t="shared" si="38"/>
        <v>4276.8</v>
      </c>
      <c r="V483" s="12" t="s">
        <v>123</v>
      </c>
      <c r="W483" s="12">
        <v>60</v>
      </c>
    </row>
    <row r="484" spans="4:23" s="12" customFormat="1" ht="30.75" customHeight="1" thickTop="1" thickBot="1" x14ac:dyDescent="0.35">
      <c r="D484" s="10"/>
      <c r="G484" s="13">
        <f t="shared" si="39"/>
        <v>483</v>
      </c>
      <c r="H484" s="18">
        <v>45808</v>
      </c>
      <c r="I484" s="15" t="s">
        <v>17</v>
      </c>
      <c r="J484" s="15">
        <v>99792</v>
      </c>
      <c r="K484" s="15">
        <v>350</v>
      </c>
      <c r="L484" s="15">
        <v>72848.160000000003</v>
      </c>
      <c r="M484" s="16">
        <f t="shared" si="35"/>
        <v>208.13760000000002</v>
      </c>
      <c r="N484" s="15">
        <v>0</v>
      </c>
      <c r="O484" s="16">
        <f t="shared" si="36"/>
        <v>99792</v>
      </c>
      <c r="P484" s="15" t="s">
        <v>18</v>
      </c>
      <c r="Q484" s="15">
        <v>0.06</v>
      </c>
      <c r="R484" s="16">
        <f t="shared" si="37"/>
        <v>5987.5199999999995</v>
      </c>
      <c r="S484" s="15">
        <v>0</v>
      </c>
      <c r="T484" s="15">
        <v>0</v>
      </c>
      <c r="U484" s="17">
        <f t="shared" si="38"/>
        <v>5987.5199999999995</v>
      </c>
      <c r="V484" s="12" t="s">
        <v>123</v>
      </c>
      <c r="W484" s="12">
        <v>60</v>
      </c>
    </row>
    <row r="485" spans="4:23" s="12" customFormat="1" ht="30.75" customHeight="1" thickTop="1" thickBot="1" x14ac:dyDescent="0.35">
      <c r="D485" s="10"/>
      <c r="G485" s="13">
        <f t="shared" si="39"/>
        <v>484</v>
      </c>
      <c r="H485" s="18">
        <v>45808</v>
      </c>
      <c r="I485" s="36" t="s">
        <v>20</v>
      </c>
      <c r="J485" s="15">
        <v>864</v>
      </c>
      <c r="K485" s="15">
        <v>3</v>
      </c>
      <c r="L485" s="15">
        <v>812.16</v>
      </c>
      <c r="M485" s="16">
        <f t="shared" si="35"/>
        <v>270.71999999999997</v>
      </c>
      <c r="N485" s="15">
        <v>0</v>
      </c>
      <c r="O485" s="16">
        <f t="shared" si="36"/>
        <v>864</v>
      </c>
      <c r="P485" s="15" t="s">
        <v>18</v>
      </c>
      <c r="Q485" s="15">
        <v>0.06</v>
      </c>
      <c r="R485" s="16">
        <f t="shared" si="37"/>
        <v>51.839999999999996</v>
      </c>
      <c r="S485" s="15">
        <v>0</v>
      </c>
      <c r="T485" s="15">
        <v>0</v>
      </c>
      <c r="U485" s="17">
        <f t="shared" si="38"/>
        <v>51.839999999999996</v>
      </c>
      <c r="V485" s="12" t="s">
        <v>123</v>
      </c>
      <c r="W485" s="12">
        <v>60</v>
      </c>
    </row>
    <row r="486" spans="4:23" s="12" customFormat="1" ht="30.75" customHeight="1" thickTop="1" thickBot="1" x14ac:dyDescent="0.35">
      <c r="D486" s="10"/>
      <c r="G486" s="13">
        <f t="shared" si="39"/>
        <v>485</v>
      </c>
      <c r="H486" s="18">
        <v>45808</v>
      </c>
      <c r="I486" s="15" t="s">
        <v>21</v>
      </c>
      <c r="J486" s="15">
        <v>4464</v>
      </c>
      <c r="K486" s="15">
        <v>20</v>
      </c>
      <c r="L486" s="15">
        <v>4196.16</v>
      </c>
      <c r="M486" s="16">
        <f t="shared" si="35"/>
        <v>209.80799999999999</v>
      </c>
      <c r="N486" s="15">
        <v>0</v>
      </c>
      <c r="O486" s="16">
        <f t="shared" si="36"/>
        <v>4464</v>
      </c>
      <c r="P486" s="15" t="s">
        <v>18</v>
      </c>
      <c r="Q486" s="15">
        <v>0.06</v>
      </c>
      <c r="R486" s="16">
        <f t="shared" si="37"/>
        <v>267.83999999999997</v>
      </c>
      <c r="S486" s="15">
        <v>0</v>
      </c>
      <c r="T486" s="15">
        <v>0</v>
      </c>
      <c r="U486" s="17">
        <f t="shared" si="38"/>
        <v>267.83999999999997</v>
      </c>
      <c r="V486" s="12" t="s">
        <v>123</v>
      </c>
      <c r="W486" s="12">
        <v>60</v>
      </c>
    </row>
    <row r="487" spans="4:23" s="12" customFormat="1" ht="30.75" customHeight="1" thickTop="1" thickBot="1" x14ac:dyDescent="0.35">
      <c r="D487" s="10"/>
      <c r="G487" s="13">
        <f t="shared" si="39"/>
        <v>486</v>
      </c>
      <c r="H487" s="18">
        <v>45808</v>
      </c>
      <c r="I487" s="15" t="s">
        <v>23</v>
      </c>
      <c r="J487" s="15">
        <v>54000</v>
      </c>
      <c r="K487" s="15">
        <v>300</v>
      </c>
      <c r="L487" s="15">
        <v>47520</v>
      </c>
      <c r="M487" s="16">
        <f t="shared" si="35"/>
        <v>158.4</v>
      </c>
      <c r="N487" s="15">
        <v>0</v>
      </c>
      <c r="O487" s="16">
        <f t="shared" si="36"/>
        <v>54000</v>
      </c>
      <c r="P487" s="15" t="s">
        <v>18</v>
      </c>
      <c r="Q487" s="15">
        <v>0.06</v>
      </c>
      <c r="R487" s="16">
        <f t="shared" si="37"/>
        <v>3240</v>
      </c>
      <c r="S487" s="15">
        <v>0</v>
      </c>
      <c r="T487" s="15">
        <v>0</v>
      </c>
      <c r="U487" s="17">
        <f t="shared" si="38"/>
        <v>3240</v>
      </c>
      <c r="V487" s="12" t="s">
        <v>123</v>
      </c>
      <c r="W487" s="12">
        <v>60</v>
      </c>
    </row>
    <row r="488" spans="4:23" s="12" customFormat="1" ht="30.75" customHeight="1" thickTop="1" thickBot="1" x14ac:dyDescent="0.35">
      <c r="D488" s="10"/>
      <c r="G488" s="13">
        <f t="shared" si="39"/>
        <v>487</v>
      </c>
      <c r="H488" s="18">
        <v>45808</v>
      </c>
      <c r="I488" s="15" t="s">
        <v>24</v>
      </c>
      <c r="J488" s="15">
        <v>7626</v>
      </c>
      <c r="K488" s="15">
        <v>25</v>
      </c>
      <c r="L488" s="15">
        <v>7168.44</v>
      </c>
      <c r="M488" s="16">
        <f t="shared" si="35"/>
        <v>286.73759999999999</v>
      </c>
      <c r="N488" s="15">
        <v>0</v>
      </c>
      <c r="O488" s="16">
        <f t="shared" si="36"/>
        <v>7626</v>
      </c>
      <c r="P488" s="15" t="s">
        <v>18</v>
      </c>
      <c r="Q488" s="15">
        <v>0.06</v>
      </c>
      <c r="R488" s="16">
        <f t="shared" si="37"/>
        <v>457.56</v>
      </c>
      <c r="S488" s="15">
        <v>0</v>
      </c>
      <c r="T488" s="15">
        <v>0</v>
      </c>
      <c r="U488" s="17">
        <f t="shared" si="38"/>
        <v>457.56</v>
      </c>
      <c r="V488" s="12" t="s">
        <v>123</v>
      </c>
      <c r="W488" s="12">
        <v>60</v>
      </c>
    </row>
    <row r="489" spans="4:23" s="12" customFormat="1" ht="30.75" customHeight="1" thickTop="1" thickBot="1" x14ac:dyDescent="0.35">
      <c r="D489" s="10"/>
      <c r="G489" s="13">
        <f t="shared" si="39"/>
        <v>488</v>
      </c>
      <c r="H489" s="18">
        <v>45808</v>
      </c>
      <c r="I489" s="15" t="s">
        <v>31</v>
      </c>
      <c r="J489" s="15">
        <v>5400</v>
      </c>
      <c r="K489" s="15">
        <v>30</v>
      </c>
      <c r="L489" s="15">
        <v>5076</v>
      </c>
      <c r="M489" s="16">
        <f t="shared" si="35"/>
        <v>169.2</v>
      </c>
      <c r="N489" s="15">
        <v>0</v>
      </c>
      <c r="O489" s="16">
        <f t="shared" si="36"/>
        <v>5400</v>
      </c>
      <c r="P489" s="15" t="s">
        <v>18</v>
      </c>
      <c r="Q489" s="15">
        <v>0.06</v>
      </c>
      <c r="R489" s="16">
        <f t="shared" si="37"/>
        <v>324</v>
      </c>
      <c r="S489" s="15">
        <v>0</v>
      </c>
      <c r="T489" s="15">
        <v>0</v>
      </c>
      <c r="U489" s="17">
        <f t="shared" si="38"/>
        <v>324</v>
      </c>
      <c r="V489" s="12" t="s">
        <v>123</v>
      </c>
      <c r="W489" s="12">
        <v>60</v>
      </c>
    </row>
    <row r="490" spans="4:23" s="12" customFormat="1" ht="30.75" customHeight="1" thickTop="1" thickBot="1" x14ac:dyDescent="0.35">
      <c r="D490" s="10"/>
      <c r="G490" s="13">
        <f t="shared" si="39"/>
        <v>489</v>
      </c>
      <c r="H490" s="18">
        <v>45808</v>
      </c>
      <c r="I490" s="15" t="s">
        <v>28</v>
      </c>
      <c r="J490" s="15">
        <v>26257.5</v>
      </c>
      <c r="K490" s="15">
        <v>50</v>
      </c>
      <c r="L490" s="15">
        <v>25732.35</v>
      </c>
      <c r="M490" s="16">
        <f t="shared" si="35"/>
        <v>514.64699999999993</v>
      </c>
      <c r="N490" s="15">
        <v>0</v>
      </c>
      <c r="O490" s="16">
        <f t="shared" si="36"/>
        <v>26257.5</v>
      </c>
      <c r="P490" s="15" t="s">
        <v>29</v>
      </c>
      <c r="Q490" s="15">
        <v>0.02</v>
      </c>
      <c r="R490" s="16">
        <f t="shared" si="37"/>
        <v>525.15</v>
      </c>
      <c r="S490" s="15">
        <v>0</v>
      </c>
      <c r="T490" s="15">
        <v>0</v>
      </c>
      <c r="U490" s="17">
        <f t="shared" si="38"/>
        <v>525.15</v>
      </c>
      <c r="V490" s="12" t="s">
        <v>123</v>
      </c>
      <c r="W490" s="12">
        <v>60</v>
      </c>
    </row>
    <row r="491" spans="4:23" s="12" customFormat="1" ht="30.75" customHeight="1" thickTop="1" thickBot="1" x14ac:dyDescent="0.35">
      <c r="D491" s="10"/>
      <c r="G491" s="13">
        <f t="shared" si="39"/>
        <v>490</v>
      </c>
      <c r="H491" s="18">
        <v>45808</v>
      </c>
      <c r="I491" s="15" t="s">
        <v>42</v>
      </c>
      <c r="J491" s="15">
        <v>1395</v>
      </c>
      <c r="K491" s="15">
        <v>3</v>
      </c>
      <c r="L491" s="15">
        <v>1374</v>
      </c>
      <c r="M491" s="16">
        <f t="shared" si="35"/>
        <v>458</v>
      </c>
      <c r="N491" s="15">
        <v>0</v>
      </c>
      <c r="O491" s="16">
        <f t="shared" si="36"/>
        <v>1395</v>
      </c>
      <c r="P491" s="15" t="s">
        <v>29</v>
      </c>
      <c r="Q491" s="15">
        <v>0.02</v>
      </c>
      <c r="R491" s="16">
        <f t="shared" si="37"/>
        <v>27.900000000000002</v>
      </c>
      <c r="S491" s="15">
        <v>0</v>
      </c>
      <c r="T491" s="15">
        <v>0</v>
      </c>
      <c r="U491" s="17">
        <f t="shared" si="38"/>
        <v>27.900000000000002</v>
      </c>
      <c r="V491" s="12" t="s">
        <v>123</v>
      </c>
      <c r="W491" s="12">
        <v>60</v>
      </c>
    </row>
    <row r="492" spans="4:23" s="12" customFormat="1" ht="30.75" customHeight="1" thickTop="1" thickBot="1" x14ac:dyDescent="0.35">
      <c r="D492" s="10"/>
      <c r="G492" s="13">
        <f t="shared" si="39"/>
        <v>491</v>
      </c>
      <c r="H492" s="18">
        <v>45808</v>
      </c>
      <c r="I492" s="15" t="s">
        <v>43</v>
      </c>
      <c r="J492" s="15">
        <v>3255</v>
      </c>
      <c r="K492" s="15">
        <v>7</v>
      </c>
      <c r="L492" s="15">
        <v>3222.45</v>
      </c>
      <c r="M492" s="16">
        <f t="shared" si="35"/>
        <v>460.34999999999997</v>
      </c>
      <c r="N492" s="15">
        <v>0</v>
      </c>
      <c r="O492" s="16">
        <f t="shared" si="36"/>
        <v>3255</v>
      </c>
      <c r="P492" s="15" t="s">
        <v>29</v>
      </c>
      <c r="Q492" s="15">
        <v>0.02</v>
      </c>
      <c r="R492" s="16">
        <f t="shared" si="37"/>
        <v>65.099999999999994</v>
      </c>
      <c r="S492" s="15">
        <v>0</v>
      </c>
      <c r="T492" s="15">
        <v>0</v>
      </c>
      <c r="U492" s="17">
        <f t="shared" si="38"/>
        <v>65.099999999999994</v>
      </c>
      <c r="V492" s="12" t="s">
        <v>123</v>
      </c>
      <c r="W492" s="12">
        <v>60</v>
      </c>
    </row>
    <row r="493" spans="4:23" s="12" customFormat="1" ht="30.75" customHeight="1" thickTop="1" thickBot="1" x14ac:dyDescent="0.35">
      <c r="D493" s="10"/>
      <c r="G493" s="13">
        <f t="shared" si="39"/>
        <v>492</v>
      </c>
      <c r="H493" s="18">
        <v>45810</v>
      </c>
      <c r="I493" s="15" t="s">
        <v>32</v>
      </c>
      <c r="J493" s="15">
        <v>28422</v>
      </c>
      <c r="K493" s="15">
        <v>50</v>
      </c>
      <c r="L493" s="15">
        <v>26091.4</v>
      </c>
      <c r="M493" s="16">
        <f t="shared" si="35"/>
        <v>521.82799999999997</v>
      </c>
      <c r="N493" s="15">
        <v>0</v>
      </c>
      <c r="O493" s="16">
        <f t="shared" si="36"/>
        <v>28422</v>
      </c>
      <c r="P493" s="15" t="s">
        <v>33</v>
      </c>
      <c r="Q493" s="15">
        <v>0.01</v>
      </c>
      <c r="R493" s="16">
        <f t="shared" si="37"/>
        <v>284.22000000000003</v>
      </c>
      <c r="S493" s="15">
        <v>0</v>
      </c>
      <c r="T493" s="15">
        <v>0</v>
      </c>
      <c r="U493" s="17">
        <f t="shared" si="38"/>
        <v>284.22000000000003</v>
      </c>
      <c r="V493" s="12" t="s">
        <v>123</v>
      </c>
      <c r="W493" s="12">
        <v>61</v>
      </c>
    </row>
    <row r="494" spans="4:23" s="12" customFormat="1" ht="30.75" customHeight="1" thickTop="1" thickBot="1" x14ac:dyDescent="0.35">
      <c r="D494" s="10"/>
      <c r="G494" s="13">
        <f t="shared" si="39"/>
        <v>493</v>
      </c>
      <c r="H494" s="18">
        <v>45810</v>
      </c>
      <c r="I494" s="36" t="s">
        <v>39</v>
      </c>
      <c r="J494" s="15">
        <v>10803.6</v>
      </c>
      <c r="K494" s="15">
        <v>30</v>
      </c>
      <c r="L494" s="15">
        <v>10155.379999999999</v>
      </c>
      <c r="M494" s="16">
        <f t="shared" si="35"/>
        <v>338.51266666666663</v>
      </c>
      <c r="N494" s="15">
        <v>0</v>
      </c>
      <c r="O494" s="16">
        <f t="shared" si="36"/>
        <v>10803.6</v>
      </c>
      <c r="P494" s="15" t="s">
        <v>26</v>
      </c>
      <c r="Q494" s="15">
        <v>0.02</v>
      </c>
      <c r="R494" s="16">
        <f t="shared" si="37"/>
        <v>216.072</v>
      </c>
      <c r="S494" s="15">
        <v>0</v>
      </c>
      <c r="T494" s="15">
        <v>0</v>
      </c>
      <c r="U494" s="17">
        <f t="shared" si="38"/>
        <v>216.072</v>
      </c>
      <c r="V494" s="12" t="s">
        <v>123</v>
      </c>
      <c r="W494" s="12">
        <v>61</v>
      </c>
    </row>
    <row r="495" spans="4:23" s="12" customFormat="1" ht="30.75" customHeight="1" thickTop="1" thickBot="1" x14ac:dyDescent="0.35">
      <c r="D495" s="10"/>
      <c r="G495" s="13">
        <f t="shared" si="39"/>
        <v>494</v>
      </c>
      <c r="H495" s="18">
        <v>45810</v>
      </c>
      <c r="I495" s="15" t="s">
        <v>25</v>
      </c>
      <c r="J495" s="15">
        <v>36492.160000000003</v>
      </c>
      <c r="K495" s="15">
        <v>152</v>
      </c>
      <c r="L495" s="15">
        <v>28912.74</v>
      </c>
      <c r="M495" s="16">
        <f t="shared" si="35"/>
        <v>190.21539473684211</v>
      </c>
      <c r="N495" s="15">
        <v>0</v>
      </c>
      <c r="O495" s="16">
        <f t="shared" si="36"/>
        <v>36492.160000000003</v>
      </c>
      <c r="P495" s="15" t="s">
        <v>26</v>
      </c>
      <c r="Q495" s="15">
        <v>0.02</v>
      </c>
      <c r="R495" s="16">
        <f t="shared" si="37"/>
        <v>729.84320000000014</v>
      </c>
      <c r="S495" s="15">
        <v>0</v>
      </c>
      <c r="T495" s="15">
        <v>0</v>
      </c>
      <c r="U495" s="17">
        <f t="shared" si="38"/>
        <v>729.84320000000014</v>
      </c>
      <c r="V495" s="12" t="s">
        <v>123</v>
      </c>
      <c r="W495" s="12">
        <v>61</v>
      </c>
    </row>
    <row r="496" spans="4:23" s="12" customFormat="1" ht="30.75" customHeight="1" thickTop="1" thickBot="1" x14ac:dyDescent="0.35">
      <c r="D496" s="10"/>
      <c r="G496" s="13">
        <f t="shared" si="39"/>
        <v>495</v>
      </c>
      <c r="H496" s="18">
        <v>45810</v>
      </c>
      <c r="I496" s="15" t="s">
        <v>30</v>
      </c>
      <c r="J496" s="15">
        <v>71280</v>
      </c>
      <c r="K496" s="15">
        <v>250</v>
      </c>
      <c r="L496" s="15">
        <v>52034.400000000001</v>
      </c>
      <c r="M496" s="16">
        <f t="shared" si="35"/>
        <v>208.13759999999999</v>
      </c>
      <c r="N496" s="15">
        <v>0</v>
      </c>
      <c r="O496" s="16">
        <f t="shared" si="36"/>
        <v>71280</v>
      </c>
      <c r="P496" s="15" t="s">
        <v>18</v>
      </c>
      <c r="Q496" s="15">
        <v>0.06</v>
      </c>
      <c r="R496" s="16">
        <f t="shared" si="37"/>
        <v>4276.8</v>
      </c>
      <c r="S496" s="15">
        <v>0</v>
      </c>
      <c r="T496" s="15">
        <v>0</v>
      </c>
      <c r="U496" s="17">
        <f t="shared" si="38"/>
        <v>4276.8</v>
      </c>
      <c r="V496" s="12" t="s">
        <v>123</v>
      </c>
      <c r="W496" s="12">
        <v>61</v>
      </c>
    </row>
    <row r="497" spans="4:23" s="12" customFormat="1" ht="30.75" customHeight="1" thickTop="1" thickBot="1" x14ac:dyDescent="0.35">
      <c r="D497" s="10"/>
      <c r="G497" s="13">
        <f t="shared" si="39"/>
        <v>496</v>
      </c>
      <c r="H497" s="18">
        <v>45810</v>
      </c>
      <c r="I497" s="15" t="s">
        <v>17</v>
      </c>
      <c r="J497" s="15">
        <v>122601.60000000001</v>
      </c>
      <c r="K497" s="15">
        <v>430</v>
      </c>
      <c r="L497" s="15">
        <v>89499.17</v>
      </c>
      <c r="M497" s="16">
        <f t="shared" si="35"/>
        <v>208.13760465116277</v>
      </c>
      <c r="N497" s="15">
        <v>0</v>
      </c>
      <c r="O497" s="16">
        <f t="shared" si="36"/>
        <v>122601.60000000001</v>
      </c>
      <c r="P497" s="15" t="s">
        <v>18</v>
      </c>
      <c r="Q497" s="15">
        <v>0.06</v>
      </c>
      <c r="R497" s="16">
        <f t="shared" si="37"/>
        <v>7356.0960000000005</v>
      </c>
      <c r="S497" s="15">
        <v>0</v>
      </c>
      <c r="T497" s="15">
        <v>0</v>
      </c>
      <c r="U497" s="17">
        <f t="shared" si="38"/>
        <v>7356.0960000000005</v>
      </c>
      <c r="V497" s="12" t="s">
        <v>123</v>
      </c>
      <c r="W497" s="12">
        <v>61</v>
      </c>
    </row>
    <row r="498" spans="4:23" s="12" customFormat="1" ht="30.75" customHeight="1" thickTop="1" thickBot="1" x14ac:dyDescent="0.35">
      <c r="D498" s="10"/>
      <c r="G498" s="13">
        <f t="shared" si="39"/>
        <v>497</v>
      </c>
      <c r="H498" s="18">
        <v>45810</v>
      </c>
      <c r="I498" s="36" t="s">
        <v>20</v>
      </c>
      <c r="J498" s="15">
        <v>1152</v>
      </c>
      <c r="K498" s="15">
        <v>4</v>
      </c>
      <c r="L498" s="15">
        <v>1082.8800000000001</v>
      </c>
      <c r="M498" s="16">
        <f t="shared" si="35"/>
        <v>270.72000000000003</v>
      </c>
      <c r="N498" s="15">
        <v>0</v>
      </c>
      <c r="O498" s="16">
        <f t="shared" si="36"/>
        <v>1152</v>
      </c>
      <c r="P498" s="15" t="s">
        <v>18</v>
      </c>
      <c r="Q498" s="15">
        <v>0.06</v>
      </c>
      <c r="R498" s="16">
        <f t="shared" si="37"/>
        <v>69.12</v>
      </c>
      <c r="S498" s="15">
        <v>0</v>
      </c>
      <c r="T498" s="15">
        <v>0</v>
      </c>
      <c r="U498" s="17">
        <f t="shared" si="38"/>
        <v>69.12</v>
      </c>
      <c r="V498" s="12" t="s">
        <v>123</v>
      </c>
      <c r="W498" s="12">
        <v>61</v>
      </c>
    </row>
    <row r="499" spans="4:23" s="12" customFormat="1" ht="30.75" customHeight="1" thickTop="1" thickBot="1" x14ac:dyDescent="0.35">
      <c r="D499" s="10"/>
      <c r="G499" s="13">
        <f t="shared" si="39"/>
        <v>498</v>
      </c>
      <c r="H499" s="18">
        <v>45810</v>
      </c>
      <c r="I499" s="15" t="s">
        <v>21</v>
      </c>
      <c r="J499" s="15">
        <v>4464</v>
      </c>
      <c r="K499" s="15">
        <v>20</v>
      </c>
      <c r="L499" s="15">
        <v>4196.16</v>
      </c>
      <c r="M499" s="16">
        <f t="shared" si="35"/>
        <v>209.80799999999999</v>
      </c>
      <c r="N499" s="15">
        <v>0</v>
      </c>
      <c r="O499" s="16">
        <f t="shared" si="36"/>
        <v>4464</v>
      </c>
      <c r="P499" s="15" t="s">
        <v>18</v>
      </c>
      <c r="Q499" s="15">
        <v>0.06</v>
      </c>
      <c r="R499" s="16">
        <f t="shared" si="37"/>
        <v>267.83999999999997</v>
      </c>
      <c r="S499" s="15">
        <v>0</v>
      </c>
      <c r="T499" s="15">
        <v>0</v>
      </c>
      <c r="U499" s="17">
        <f t="shared" si="38"/>
        <v>267.83999999999997</v>
      </c>
      <c r="V499" s="12" t="s">
        <v>123</v>
      </c>
      <c r="W499" s="12">
        <v>61</v>
      </c>
    </row>
    <row r="500" spans="4:23" s="12" customFormat="1" ht="30.75" customHeight="1" thickTop="1" thickBot="1" x14ac:dyDescent="0.35">
      <c r="D500" s="10"/>
      <c r="G500" s="13">
        <f t="shared" si="39"/>
        <v>499</v>
      </c>
      <c r="H500" s="18">
        <v>45810</v>
      </c>
      <c r="I500" s="15" t="s">
        <v>23</v>
      </c>
      <c r="J500" s="15">
        <v>45000</v>
      </c>
      <c r="K500" s="15">
        <v>250</v>
      </c>
      <c r="L500" s="15">
        <v>39600</v>
      </c>
      <c r="M500" s="16">
        <f t="shared" si="35"/>
        <v>158.4</v>
      </c>
      <c r="N500" s="15">
        <v>0</v>
      </c>
      <c r="O500" s="16">
        <f t="shared" si="36"/>
        <v>45000</v>
      </c>
      <c r="P500" s="15" t="s">
        <v>18</v>
      </c>
      <c r="Q500" s="15">
        <v>0.06</v>
      </c>
      <c r="R500" s="16">
        <f t="shared" si="37"/>
        <v>2700</v>
      </c>
      <c r="S500" s="15">
        <v>0</v>
      </c>
      <c r="T500" s="15">
        <v>0</v>
      </c>
      <c r="U500" s="17">
        <f t="shared" si="38"/>
        <v>2700</v>
      </c>
      <c r="V500" s="12" t="s">
        <v>123</v>
      </c>
      <c r="W500" s="12">
        <v>61</v>
      </c>
    </row>
    <row r="501" spans="4:23" s="12" customFormat="1" ht="30.75" customHeight="1" thickTop="1" thickBot="1" x14ac:dyDescent="0.35">
      <c r="D501" s="10"/>
      <c r="G501" s="13">
        <f t="shared" si="39"/>
        <v>500</v>
      </c>
      <c r="H501" s="18">
        <v>45810</v>
      </c>
      <c r="I501" s="15" t="s">
        <v>24</v>
      </c>
      <c r="J501" s="15">
        <v>7626</v>
      </c>
      <c r="K501" s="15">
        <v>25</v>
      </c>
      <c r="L501" s="15">
        <v>7168.44</v>
      </c>
      <c r="M501" s="16">
        <f t="shared" si="35"/>
        <v>286.73759999999999</v>
      </c>
      <c r="N501" s="15">
        <v>0</v>
      </c>
      <c r="O501" s="16">
        <f t="shared" si="36"/>
        <v>7626</v>
      </c>
      <c r="P501" s="15" t="s">
        <v>18</v>
      </c>
      <c r="Q501" s="15">
        <v>0.06</v>
      </c>
      <c r="R501" s="16">
        <f t="shared" si="37"/>
        <v>457.56</v>
      </c>
      <c r="S501" s="15">
        <v>0</v>
      </c>
      <c r="T501" s="15">
        <v>0</v>
      </c>
      <c r="U501" s="17">
        <f t="shared" si="38"/>
        <v>457.56</v>
      </c>
      <c r="V501" s="12" t="s">
        <v>123</v>
      </c>
      <c r="W501" s="12">
        <v>61</v>
      </c>
    </row>
    <row r="502" spans="4:23" s="12" customFormat="1" ht="30.75" customHeight="1" thickTop="1" thickBot="1" x14ac:dyDescent="0.35">
      <c r="D502" s="10"/>
      <c r="G502" s="13">
        <f t="shared" si="39"/>
        <v>501</v>
      </c>
      <c r="H502" s="18">
        <v>45810</v>
      </c>
      <c r="I502" s="15" t="s">
        <v>31</v>
      </c>
      <c r="J502" s="15">
        <v>9900</v>
      </c>
      <c r="K502" s="15">
        <v>55</v>
      </c>
      <c r="L502" s="15">
        <v>9306</v>
      </c>
      <c r="M502" s="16">
        <f t="shared" si="35"/>
        <v>169.2</v>
      </c>
      <c r="N502" s="15">
        <v>0</v>
      </c>
      <c r="O502" s="16">
        <f t="shared" si="36"/>
        <v>9900</v>
      </c>
      <c r="P502" s="15" t="s">
        <v>18</v>
      </c>
      <c r="Q502" s="15">
        <v>0.06</v>
      </c>
      <c r="R502" s="16">
        <f t="shared" si="37"/>
        <v>594</v>
      </c>
      <c r="S502" s="15">
        <v>0</v>
      </c>
      <c r="T502" s="15">
        <v>0</v>
      </c>
      <c r="U502" s="17">
        <f t="shared" si="38"/>
        <v>594</v>
      </c>
      <c r="V502" s="12" t="s">
        <v>123</v>
      </c>
      <c r="W502" s="12">
        <v>61</v>
      </c>
    </row>
    <row r="503" spans="4:23" s="12" customFormat="1" ht="30.75" customHeight="1" thickTop="1" thickBot="1" x14ac:dyDescent="0.35">
      <c r="D503" s="10"/>
      <c r="G503" s="13">
        <f t="shared" si="39"/>
        <v>502</v>
      </c>
      <c r="H503" s="18">
        <v>45811</v>
      </c>
      <c r="I503" s="15" t="s">
        <v>34</v>
      </c>
      <c r="J503" s="15">
        <v>6102</v>
      </c>
      <c r="K503" s="15">
        <v>20</v>
      </c>
      <c r="L503" s="15">
        <v>5796.9</v>
      </c>
      <c r="M503" s="16">
        <f t="shared" si="35"/>
        <v>289.84499999999997</v>
      </c>
      <c r="N503" s="15">
        <v>0</v>
      </c>
      <c r="O503" s="16">
        <f t="shared" si="36"/>
        <v>6102</v>
      </c>
      <c r="P503" s="15" t="s">
        <v>33</v>
      </c>
      <c r="Q503" s="15">
        <v>0.01</v>
      </c>
      <c r="R503" s="16">
        <f t="shared" si="37"/>
        <v>61.02</v>
      </c>
      <c r="S503" s="15">
        <v>0</v>
      </c>
      <c r="T503" s="15">
        <v>0</v>
      </c>
      <c r="U503" s="17">
        <f t="shared" si="38"/>
        <v>61.02</v>
      </c>
      <c r="V503" s="12" t="s">
        <v>123</v>
      </c>
      <c r="W503" s="12">
        <v>62</v>
      </c>
    </row>
    <row r="504" spans="4:23" s="12" customFormat="1" ht="30.75" customHeight="1" thickTop="1" thickBot="1" x14ac:dyDescent="0.35">
      <c r="D504" s="10"/>
      <c r="G504" s="13">
        <f t="shared" si="39"/>
        <v>503</v>
      </c>
      <c r="H504" s="18">
        <v>45811</v>
      </c>
      <c r="I504" s="15" t="s">
        <v>30</v>
      </c>
      <c r="J504" s="15">
        <v>85536</v>
      </c>
      <c r="K504" s="15">
        <v>300</v>
      </c>
      <c r="L504" s="15">
        <v>62441.279999999999</v>
      </c>
      <c r="M504" s="16">
        <f t="shared" si="35"/>
        <v>208.13759999999999</v>
      </c>
      <c r="N504" s="15">
        <v>0</v>
      </c>
      <c r="O504" s="16">
        <f t="shared" si="36"/>
        <v>85536</v>
      </c>
      <c r="P504" s="15" t="s">
        <v>18</v>
      </c>
      <c r="Q504" s="15">
        <v>0.06</v>
      </c>
      <c r="R504" s="16">
        <f t="shared" si="37"/>
        <v>5132.16</v>
      </c>
      <c r="S504" s="15">
        <v>0</v>
      </c>
      <c r="T504" s="15">
        <v>0</v>
      </c>
      <c r="U504" s="17">
        <f t="shared" si="38"/>
        <v>5132.16</v>
      </c>
      <c r="V504" s="12" t="s">
        <v>123</v>
      </c>
      <c r="W504" s="12">
        <v>62</v>
      </c>
    </row>
    <row r="505" spans="4:23" s="12" customFormat="1" ht="30.75" customHeight="1" thickTop="1" thickBot="1" x14ac:dyDescent="0.35">
      <c r="D505" s="10"/>
      <c r="G505" s="13">
        <f t="shared" si="39"/>
        <v>504</v>
      </c>
      <c r="H505" s="18">
        <v>45811</v>
      </c>
      <c r="I505" s="15" t="s">
        <v>17</v>
      </c>
      <c r="J505" s="15">
        <v>142560</v>
      </c>
      <c r="K505" s="15">
        <v>500</v>
      </c>
      <c r="L505" s="15">
        <v>104068.8</v>
      </c>
      <c r="M505" s="16">
        <f t="shared" si="35"/>
        <v>208.13759999999999</v>
      </c>
      <c r="N505" s="15">
        <v>0</v>
      </c>
      <c r="O505" s="16">
        <f t="shared" si="36"/>
        <v>142560</v>
      </c>
      <c r="P505" s="15" t="s">
        <v>18</v>
      </c>
      <c r="Q505" s="15">
        <v>0.06</v>
      </c>
      <c r="R505" s="16">
        <f t="shared" si="37"/>
        <v>8553.6</v>
      </c>
      <c r="S505" s="15">
        <v>0</v>
      </c>
      <c r="T505" s="15">
        <v>0</v>
      </c>
      <c r="U505" s="17">
        <f t="shared" si="38"/>
        <v>8553.6</v>
      </c>
      <c r="V505" s="12" t="s">
        <v>123</v>
      </c>
      <c r="W505" s="12">
        <v>62</v>
      </c>
    </row>
    <row r="506" spans="4:23" s="12" customFormat="1" ht="30.75" customHeight="1" thickTop="1" thickBot="1" x14ac:dyDescent="0.35">
      <c r="D506" s="10"/>
      <c r="G506" s="13">
        <f t="shared" si="39"/>
        <v>505</v>
      </c>
      <c r="H506" s="18">
        <v>45811</v>
      </c>
      <c r="I506" s="36" t="s">
        <v>20</v>
      </c>
      <c r="J506" s="15">
        <v>1440</v>
      </c>
      <c r="K506" s="15">
        <v>5</v>
      </c>
      <c r="L506" s="15">
        <v>1353.6</v>
      </c>
      <c r="M506" s="16">
        <f t="shared" si="35"/>
        <v>270.71999999999997</v>
      </c>
      <c r="N506" s="15">
        <v>0</v>
      </c>
      <c r="O506" s="16">
        <f t="shared" si="36"/>
        <v>1440</v>
      </c>
      <c r="P506" s="15" t="s">
        <v>18</v>
      </c>
      <c r="Q506" s="15">
        <v>0.06</v>
      </c>
      <c r="R506" s="16">
        <f t="shared" si="37"/>
        <v>86.399999999999991</v>
      </c>
      <c r="S506" s="15">
        <v>0</v>
      </c>
      <c r="T506" s="15">
        <v>0</v>
      </c>
      <c r="U506" s="17">
        <f t="shared" si="38"/>
        <v>86.399999999999991</v>
      </c>
      <c r="V506" s="12" t="s">
        <v>123</v>
      </c>
      <c r="W506" s="12">
        <v>62</v>
      </c>
    </row>
    <row r="507" spans="4:23" s="12" customFormat="1" ht="30.75" customHeight="1" thickTop="1" thickBot="1" x14ac:dyDescent="0.35">
      <c r="D507" s="10"/>
      <c r="G507" s="13">
        <f t="shared" si="39"/>
        <v>506</v>
      </c>
      <c r="H507" s="18">
        <v>45811</v>
      </c>
      <c r="I507" s="15" t="s">
        <v>21</v>
      </c>
      <c r="J507" s="15">
        <v>4464</v>
      </c>
      <c r="K507" s="15">
        <v>20</v>
      </c>
      <c r="L507" s="15">
        <v>4196.16</v>
      </c>
      <c r="M507" s="16">
        <f t="shared" si="35"/>
        <v>209.80799999999999</v>
      </c>
      <c r="N507" s="15">
        <v>0</v>
      </c>
      <c r="O507" s="16">
        <f t="shared" si="36"/>
        <v>4464</v>
      </c>
      <c r="P507" s="15" t="s">
        <v>18</v>
      </c>
      <c r="Q507" s="15">
        <v>0.06</v>
      </c>
      <c r="R507" s="16">
        <f t="shared" si="37"/>
        <v>267.83999999999997</v>
      </c>
      <c r="S507" s="15">
        <v>0</v>
      </c>
      <c r="T507" s="15">
        <v>0</v>
      </c>
      <c r="U507" s="17">
        <f t="shared" si="38"/>
        <v>267.83999999999997</v>
      </c>
      <c r="V507" s="12" t="s">
        <v>123</v>
      </c>
      <c r="W507" s="12">
        <v>62</v>
      </c>
    </row>
    <row r="508" spans="4:23" s="12" customFormat="1" ht="30.75" customHeight="1" thickTop="1" thickBot="1" x14ac:dyDescent="0.35">
      <c r="D508" s="10"/>
      <c r="G508" s="13">
        <f t="shared" si="39"/>
        <v>507</v>
      </c>
      <c r="H508" s="18">
        <v>45811</v>
      </c>
      <c r="I508" s="15" t="s">
        <v>23</v>
      </c>
      <c r="J508" s="15">
        <v>54000</v>
      </c>
      <c r="K508" s="15">
        <v>300</v>
      </c>
      <c r="L508" s="15">
        <v>47520</v>
      </c>
      <c r="M508" s="16">
        <f t="shared" si="35"/>
        <v>158.4</v>
      </c>
      <c r="N508" s="15">
        <v>0</v>
      </c>
      <c r="O508" s="16">
        <f t="shared" si="36"/>
        <v>54000</v>
      </c>
      <c r="P508" s="15" t="s">
        <v>18</v>
      </c>
      <c r="Q508" s="15">
        <v>0.06</v>
      </c>
      <c r="R508" s="16">
        <f t="shared" si="37"/>
        <v>3240</v>
      </c>
      <c r="S508" s="15">
        <v>0</v>
      </c>
      <c r="T508" s="15">
        <v>0</v>
      </c>
      <c r="U508" s="17">
        <f t="shared" si="38"/>
        <v>3240</v>
      </c>
      <c r="V508" s="12" t="s">
        <v>123</v>
      </c>
      <c r="W508" s="12">
        <v>62</v>
      </c>
    </row>
    <row r="509" spans="4:23" s="12" customFormat="1" ht="30.75" customHeight="1" thickTop="1" thickBot="1" x14ac:dyDescent="0.35">
      <c r="D509" s="10"/>
      <c r="G509" s="13">
        <f t="shared" si="39"/>
        <v>508</v>
      </c>
      <c r="H509" s="18">
        <v>45811</v>
      </c>
      <c r="I509" s="15" t="s">
        <v>24</v>
      </c>
      <c r="J509" s="15">
        <v>9151.2000000000007</v>
      </c>
      <c r="K509" s="15">
        <v>30</v>
      </c>
      <c r="L509" s="15">
        <v>8602.1299999999992</v>
      </c>
      <c r="M509" s="16">
        <f t="shared" si="35"/>
        <v>286.73766666666666</v>
      </c>
      <c r="N509" s="15">
        <v>0</v>
      </c>
      <c r="O509" s="16">
        <f t="shared" si="36"/>
        <v>9151.2000000000007</v>
      </c>
      <c r="P509" s="15" t="s">
        <v>18</v>
      </c>
      <c r="Q509" s="15">
        <v>0.06</v>
      </c>
      <c r="R509" s="16">
        <f t="shared" si="37"/>
        <v>549.072</v>
      </c>
      <c r="S509" s="15">
        <v>0</v>
      </c>
      <c r="T509" s="15">
        <v>0</v>
      </c>
      <c r="U509" s="17">
        <f t="shared" si="38"/>
        <v>549.072</v>
      </c>
      <c r="V509" s="12" t="s">
        <v>123</v>
      </c>
      <c r="W509" s="12">
        <v>62</v>
      </c>
    </row>
    <row r="510" spans="4:23" s="12" customFormat="1" ht="30.75" customHeight="1" thickTop="1" thickBot="1" x14ac:dyDescent="0.35">
      <c r="D510" s="10"/>
      <c r="G510" s="13">
        <f t="shared" si="39"/>
        <v>509</v>
      </c>
      <c r="H510" s="18">
        <v>45813</v>
      </c>
      <c r="I510" s="15" t="s">
        <v>31</v>
      </c>
      <c r="J510" s="15">
        <v>10800</v>
      </c>
      <c r="K510" s="15">
        <v>60</v>
      </c>
      <c r="L510" s="15">
        <v>10152</v>
      </c>
      <c r="M510" s="16">
        <f t="shared" si="35"/>
        <v>169.2</v>
      </c>
      <c r="N510" s="15">
        <v>0</v>
      </c>
      <c r="O510" s="16">
        <f t="shared" si="36"/>
        <v>10800</v>
      </c>
      <c r="P510" s="15" t="s">
        <v>18</v>
      </c>
      <c r="Q510" s="15">
        <v>0.06</v>
      </c>
      <c r="R510" s="16">
        <f t="shared" si="37"/>
        <v>648</v>
      </c>
      <c r="S510" s="15">
        <v>0</v>
      </c>
      <c r="T510" s="15">
        <v>0</v>
      </c>
      <c r="U510" s="17">
        <f t="shared" si="38"/>
        <v>648</v>
      </c>
      <c r="V510" s="12" t="s">
        <v>123</v>
      </c>
      <c r="W510" s="12">
        <v>62</v>
      </c>
    </row>
    <row r="511" spans="4:23" s="12" customFormat="1" ht="30.75" customHeight="1" thickTop="1" thickBot="1" x14ac:dyDescent="0.35">
      <c r="D511" s="10"/>
      <c r="G511" s="13">
        <f t="shared" si="39"/>
        <v>510</v>
      </c>
      <c r="H511" s="18">
        <v>45813</v>
      </c>
      <c r="I511" s="15" t="s">
        <v>37</v>
      </c>
      <c r="J511" s="15">
        <v>115533</v>
      </c>
      <c r="K511" s="15">
        <v>220</v>
      </c>
      <c r="L511" s="15">
        <v>113222.34</v>
      </c>
      <c r="M511" s="16">
        <f t="shared" si="35"/>
        <v>514.64699999999993</v>
      </c>
      <c r="N511" s="15">
        <v>0</v>
      </c>
      <c r="O511" s="16">
        <f t="shared" si="36"/>
        <v>115533</v>
      </c>
      <c r="P511" s="15" t="s">
        <v>29</v>
      </c>
      <c r="Q511" s="15">
        <v>0.02</v>
      </c>
      <c r="R511" s="16">
        <f t="shared" si="37"/>
        <v>2310.66</v>
      </c>
      <c r="S511" s="15">
        <v>0</v>
      </c>
      <c r="T511" s="15">
        <v>0</v>
      </c>
      <c r="U511" s="17">
        <f t="shared" si="38"/>
        <v>2310.66</v>
      </c>
      <c r="V511" s="12" t="s">
        <v>123</v>
      </c>
      <c r="W511" s="12">
        <v>62</v>
      </c>
    </row>
    <row r="512" spans="4:23" s="12" customFormat="1" ht="30.75" customHeight="1" thickTop="1" thickBot="1" x14ac:dyDescent="0.35">
      <c r="D512" s="10"/>
      <c r="G512" s="13">
        <f t="shared" si="39"/>
        <v>511</v>
      </c>
      <c r="H512" s="18">
        <v>45817</v>
      </c>
      <c r="I512" s="15" t="s">
        <v>30</v>
      </c>
      <c r="J512" s="15">
        <v>68428.800000000003</v>
      </c>
      <c r="K512" s="15">
        <v>240</v>
      </c>
      <c r="L512" s="15">
        <v>49953.02</v>
      </c>
      <c r="M512" s="16">
        <f t="shared" si="35"/>
        <v>208.13758333333331</v>
      </c>
      <c r="N512" s="15">
        <v>0</v>
      </c>
      <c r="O512" s="16">
        <f t="shared" si="36"/>
        <v>68428.800000000003</v>
      </c>
      <c r="P512" s="15" t="s">
        <v>18</v>
      </c>
      <c r="Q512" s="15">
        <v>0.06</v>
      </c>
      <c r="R512" s="16">
        <f t="shared" si="37"/>
        <v>4105.7280000000001</v>
      </c>
      <c r="S512" s="15">
        <v>0</v>
      </c>
      <c r="T512" s="15">
        <v>0</v>
      </c>
      <c r="U512" s="17">
        <f t="shared" si="38"/>
        <v>4105.7280000000001</v>
      </c>
      <c r="V512" s="12" t="s">
        <v>123</v>
      </c>
      <c r="W512" s="12">
        <v>63</v>
      </c>
    </row>
    <row r="513" spans="4:23" s="12" customFormat="1" ht="30.75" customHeight="1" thickTop="1" thickBot="1" x14ac:dyDescent="0.35">
      <c r="D513" s="10"/>
      <c r="G513" s="13">
        <f t="shared" si="39"/>
        <v>512</v>
      </c>
      <c r="H513" s="18">
        <v>45817</v>
      </c>
      <c r="I513" s="15" t="s">
        <v>17</v>
      </c>
      <c r="J513" s="15">
        <v>102643.2</v>
      </c>
      <c r="K513" s="15">
        <v>360</v>
      </c>
      <c r="L513" s="15">
        <v>74929.539999999994</v>
      </c>
      <c r="M513" s="16">
        <f t="shared" si="35"/>
        <v>208.13761111111108</v>
      </c>
      <c r="N513" s="15">
        <v>0</v>
      </c>
      <c r="O513" s="16">
        <f t="shared" si="36"/>
        <v>102643.2</v>
      </c>
      <c r="P513" s="15" t="s">
        <v>18</v>
      </c>
      <c r="Q513" s="15">
        <v>0.06</v>
      </c>
      <c r="R513" s="16">
        <f t="shared" si="37"/>
        <v>6158.5919999999996</v>
      </c>
      <c r="S513" s="15">
        <v>0</v>
      </c>
      <c r="T513" s="15">
        <v>0</v>
      </c>
      <c r="U513" s="17">
        <f t="shared" si="38"/>
        <v>6158.5919999999996</v>
      </c>
      <c r="V513" s="12" t="s">
        <v>123</v>
      </c>
      <c r="W513" s="12">
        <v>63</v>
      </c>
    </row>
    <row r="514" spans="4:23" s="12" customFormat="1" ht="30.75" customHeight="1" thickTop="1" thickBot="1" x14ac:dyDescent="0.35">
      <c r="D514" s="10"/>
      <c r="G514" s="13">
        <f t="shared" si="39"/>
        <v>513</v>
      </c>
      <c r="H514" s="18">
        <v>45817</v>
      </c>
      <c r="I514" s="36" t="s">
        <v>20</v>
      </c>
      <c r="J514" s="15">
        <v>1440</v>
      </c>
      <c r="K514" s="15">
        <v>5</v>
      </c>
      <c r="L514" s="15">
        <v>1353.6</v>
      </c>
      <c r="M514" s="16">
        <f t="shared" ref="M514:M577" si="40">IFERROR(L514/K514,"")</f>
        <v>270.71999999999997</v>
      </c>
      <c r="N514" s="15">
        <v>0</v>
      </c>
      <c r="O514" s="16">
        <f t="shared" ref="O514:O577" si="41">J514-N514</f>
        <v>1440</v>
      </c>
      <c r="P514" s="15" t="s">
        <v>18</v>
      </c>
      <c r="Q514" s="15">
        <v>0.06</v>
      </c>
      <c r="R514" s="16">
        <f t="shared" ref="R514:R577" si="42">J514*Q514</f>
        <v>86.399999999999991</v>
      </c>
      <c r="S514" s="15">
        <v>0</v>
      </c>
      <c r="T514" s="15">
        <v>0</v>
      </c>
      <c r="U514" s="17">
        <f t="shared" ref="U514:U577" si="43">T514+S514+R514</f>
        <v>86.399999999999991</v>
      </c>
      <c r="V514" s="12" t="s">
        <v>123</v>
      </c>
      <c r="W514" s="12">
        <v>63</v>
      </c>
    </row>
    <row r="515" spans="4:23" s="12" customFormat="1" ht="30.75" customHeight="1" thickTop="1" thickBot="1" x14ac:dyDescent="0.35">
      <c r="D515" s="10"/>
      <c r="G515" s="13">
        <f t="shared" si="39"/>
        <v>514</v>
      </c>
      <c r="H515" s="18">
        <v>45817</v>
      </c>
      <c r="I515" s="15" t="s">
        <v>21</v>
      </c>
      <c r="J515" s="15">
        <v>3348</v>
      </c>
      <c r="K515" s="15">
        <v>15</v>
      </c>
      <c r="L515" s="15">
        <v>3147.12</v>
      </c>
      <c r="M515" s="16">
        <f t="shared" si="40"/>
        <v>209.80799999999999</v>
      </c>
      <c r="N515" s="15">
        <v>0</v>
      </c>
      <c r="O515" s="16">
        <f t="shared" si="41"/>
        <v>3348</v>
      </c>
      <c r="P515" s="15" t="s">
        <v>18</v>
      </c>
      <c r="Q515" s="15">
        <v>0.06</v>
      </c>
      <c r="R515" s="16">
        <f t="shared" si="42"/>
        <v>200.88</v>
      </c>
      <c r="S515" s="15">
        <v>0</v>
      </c>
      <c r="T515" s="15">
        <v>0</v>
      </c>
      <c r="U515" s="17">
        <f t="shared" si="43"/>
        <v>200.88</v>
      </c>
      <c r="V515" s="12" t="s">
        <v>123</v>
      </c>
      <c r="W515" s="12">
        <v>63</v>
      </c>
    </row>
    <row r="516" spans="4:23" s="12" customFormat="1" ht="30.75" customHeight="1" thickTop="1" thickBot="1" x14ac:dyDescent="0.35">
      <c r="D516" s="10"/>
      <c r="G516" s="13">
        <f t="shared" ref="G516:G579" si="44">G515+1</f>
        <v>515</v>
      </c>
      <c r="H516" s="18">
        <v>45817</v>
      </c>
      <c r="I516" s="15" t="s">
        <v>23</v>
      </c>
      <c r="J516" s="15">
        <v>39600</v>
      </c>
      <c r="K516" s="15">
        <v>220</v>
      </c>
      <c r="L516" s="15">
        <v>37224</v>
      </c>
      <c r="M516" s="16">
        <f t="shared" si="40"/>
        <v>169.2</v>
      </c>
      <c r="N516" s="15">
        <v>0</v>
      </c>
      <c r="O516" s="16">
        <f t="shared" si="41"/>
        <v>39600</v>
      </c>
      <c r="P516" s="15" t="s">
        <v>18</v>
      </c>
      <c r="Q516" s="15">
        <v>0.06</v>
      </c>
      <c r="R516" s="16">
        <f t="shared" si="42"/>
        <v>2376</v>
      </c>
      <c r="S516" s="15">
        <v>0</v>
      </c>
      <c r="T516" s="15">
        <v>0</v>
      </c>
      <c r="U516" s="17">
        <f t="shared" si="43"/>
        <v>2376</v>
      </c>
      <c r="V516" s="12" t="s">
        <v>123</v>
      </c>
      <c r="W516" s="12">
        <v>63</v>
      </c>
    </row>
    <row r="517" spans="4:23" s="12" customFormat="1" ht="30.75" customHeight="1" thickTop="1" thickBot="1" x14ac:dyDescent="0.35">
      <c r="D517" s="10"/>
      <c r="G517" s="13">
        <f t="shared" si="44"/>
        <v>516</v>
      </c>
      <c r="H517" s="18">
        <v>45817</v>
      </c>
      <c r="I517" s="15" t="s">
        <v>24</v>
      </c>
      <c r="J517" s="15">
        <v>12201.6</v>
      </c>
      <c r="K517" s="15">
        <v>40</v>
      </c>
      <c r="L517" s="15">
        <v>11469.5</v>
      </c>
      <c r="M517" s="16">
        <f t="shared" si="40"/>
        <v>286.73750000000001</v>
      </c>
      <c r="N517" s="15">
        <v>0</v>
      </c>
      <c r="O517" s="16">
        <f t="shared" si="41"/>
        <v>12201.6</v>
      </c>
      <c r="P517" s="15" t="s">
        <v>18</v>
      </c>
      <c r="Q517" s="15">
        <v>0.06</v>
      </c>
      <c r="R517" s="16">
        <f t="shared" si="42"/>
        <v>732.096</v>
      </c>
      <c r="S517" s="15">
        <v>0</v>
      </c>
      <c r="T517" s="15">
        <v>0</v>
      </c>
      <c r="U517" s="17">
        <f t="shared" si="43"/>
        <v>732.096</v>
      </c>
      <c r="V517" s="12" t="s">
        <v>123</v>
      </c>
      <c r="W517" s="12">
        <v>63</v>
      </c>
    </row>
    <row r="518" spans="4:23" s="12" customFormat="1" ht="30.75" customHeight="1" thickTop="1" thickBot="1" x14ac:dyDescent="0.35">
      <c r="D518" s="10"/>
      <c r="G518" s="13">
        <f t="shared" si="44"/>
        <v>517</v>
      </c>
      <c r="H518" s="18">
        <v>45817</v>
      </c>
      <c r="I518" s="15" t="s">
        <v>31</v>
      </c>
      <c r="J518" s="15">
        <v>9000</v>
      </c>
      <c r="K518" s="15">
        <v>50</v>
      </c>
      <c r="L518" s="15">
        <v>8460</v>
      </c>
      <c r="M518" s="16">
        <f t="shared" si="40"/>
        <v>169.2</v>
      </c>
      <c r="N518" s="15">
        <v>0</v>
      </c>
      <c r="O518" s="16">
        <f t="shared" si="41"/>
        <v>9000</v>
      </c>
      <c r="P518" s="15" t="s">
        <v>18</v>
      </c>
      <c r="Q518" s="15">
        <v>0.06</v>
      </c>
      <c r="R518" s="16">
        <f t="shared" si="42"/>
        <v>540</v>
      </c>
      <c r="S518" s="15">
        <v>0</v>
      </c>
      <c r="T518" s="15">
        <v>0</v>
      </c>
      <c r="U518" s="17">
        <f t="shared" si="43"/>
        <v>540</v>
      </c>
      <c r="V518" s="12" t="s">
        <v>123</v>
      </c>
      <c r="W518" s="12">
        <v>63</v>
      </c>
    </row>
    <row r="519" spans="4:23" s="12" customFormat="1" ht="30.75" customHeight="1" thickTop="1" thickBot="1" x14ac:dyDescent="0.35">
      <c r="D519" s="10"/>
      <c r="G519" s="13">
        <f t="shared" si="44"/>
        <v>518</v>
      </c>
      <c r="H519" s="18">
        <v>45819</v>
      </c>
      <c r="I519" s="15" t="s">
        <v>30</v>
      </c>
      <c r="J519" s="15">
        <v>49896</v>
      </c>
      <c r="K519" s="15">
        <v>175</v>
      </c>
      <c r="L519" s="15">
        <v>36424.080000000002</v>
      </c>
      <c r="M519" s="16">
        <f t="shared" si="40"/>
        <v>208.13760000000002</v>
      </c>
      <c r="N519" s="15">
        <v>0</v>
      </c>
      <c r="O519" s="16">
        <f t="shared" si="41"/>
        <v>49896</v>
      </c>
      <c r="P519" s="15" t="s">
        <v>18</v>
      </c>
      <c r="Q519" s="15">
        <v>0.06</v>
      </c>
      <c r="R519" s="16">
        <f t="shared" si="42"/>
        <v>2993.7599999999998</v>
      </c>
      <c r="S519" s="15">
        <v>0</v>
      </c>
      <c r="T519" s="15">
        <v>0</v>
      </c>
      <c r="U519" s="17">
        <f t="shared" si="43"/>
        <v>2993.7599999999998</v>
      </c>
      <c r="V519" s="12" t="s">
        <v>123</v>
      </c>
      <c r="W519" s="12">
        <v>64</v>
      </c>
    </row>
    <row r="520" spans="4:23" s="12" customFormat="1" ht="30.75" customHeight="1" thickTop="1" thickBot="1" x14ac:dyDescent="0.35">
      <c r="D520" s="10"/>
      <c r="G520" s="13">
        <f t="shared" si="44"/>
        <v>519</v>
      </c>
      <c r="H520" s="18">
        <v>45819</v>
      </c>
      <c r="I520" s="15" t="s">
        <v>17</v>
      </c>
      <c r="J520" s="15">
        <v>79833.600000000006</v>
      </c>
      <c r="K520" s="15">
        <v>280</v>
      </c>
      <c r="L520" s="15">
        <v>58278.53</v>
      </c>
      <c r="M520" s="16">
        <f t="shared" si="40"/>
        <v>208.13760714285715</v>
      </c>
      <c r="N520" s="15">
        <v>0</v>
      </c>
      <c r="O520" s="16">
        <f t="shared" si="41"/>
        <v>79833.600000000006</v>
      </c>
      <c r="P520" s="15" t="s">
        <v>18</v>
      </c>
      <c r="Q520" s="15">
        <v>0.06</v>
      </c>
      <c r="R520" s="16">
        <f t="shared" si="42"/>
        <v>4790.0160000000005</v>
      </c>
      <c r="S520" s="15">
        <v>0</v>
      </c>
      <c r="T520" s="15">
        <v>0</v>
      </c>
      <c r="U520" s="17">
        <f t="shared" si="43"/>
        <v>4790.0160000000005</v>
      </c>
      <c r="V520" s="12" t="s">
        <v>123</v>
      </c>
      <c r="W520" s="12">
        <v>64</v>
      </c>
    </row>
    <row r="521" spans="4:23" s="12" customFormat="1" ht="30.75" customHeight="1" thickTop="1" thickBot="1" x14ac:dyDescent="0.35">
      <c r="D521" s="10"/>
      <c r="G521" s="13">
        <f t="shared" si="44"/>
        <v>520</v>
      </c>
      <c r="H521" s="18">
        <v>45819</v>
      </c>
      <c r="I521" s="15" t="s">
        <v>23</v>
      </c>
      <c r="J521" s="15">
        <v>36000</v>
      </c>
      <c r="K521" s="15">
        <v>200</v>
      </c>
      <c r="L521" s="15">
        <v>33840</v>
      </c>
      <c r="M521" s="16">
        <f t="shared" si="40"/>
        <v>169.2</v>
      </c>
      <c r="N521" s="15">
        <v>0</v>
      </c>
      <c r="O521" s="16">
        <f t="shared" si="41"/>
        <v>36000</v>
      </c>
      <c r="P521" s="15" t="s">
        <v>18</v>
      </c>
      <c r="Q521" s="15">
        <v>0.06</v>
      </c>
      <c r="R521" s="16">
        <f t="shared" si="42"/>
        <v>2160</v>
      </c>
      <c r="S521" s="15">
        <v>0</v>
      </c>
      <c r="T521" s="15">
        <v>0</v>
      </c>
      <c r="U521" s="17">
        <f t="shared" si="43"/>
        <v>2160</v>
      </c>
      <c r="V521" s="12" t="s">
        <v>123</v>
      </c>
      <c r="W521" s="12">
        <v>64</v>
      </c>
    </row>
    <row r="522" spans="4:23" s="12" customFormat="1" ht="30.75" customHeight="1" thickTop="1" thickBot="1" x14ac:dyDescent="0.35">
      <c r="D522" s="10"/>
      <c r="G522" s="13">
        <f t="shared" si="44"/>
        <v>521</v>
      </c>
      <c r="H522" s="18">
        <v>45819</v>
      </c>
      <c r="I522" s="15" t="s">
        <v>24</v>
      </c>
      <c r="J522" s="15">
        <v>6100.8</v>
      </c>
      <c r="K522" s="15">
        <v>20</v>
      </c>
      <c r="L522" s="15">
        <v>5734.75</v>
      </c>
      <c r="M522" s="16">
        <f t="shared" si="40"/>
        <v>286.73750000000001</v>
      </c>
      <c r="N522" s="15">
        <v>0</v>
      </c>
      <c r="O522" s="16">
        <f t="shared" si="41"/>
        <v>6100.8</v>
      </c>
      <c r="P522" s="15" t="s">
        <v>18</v>
      </c>
      <c r="Q522" s="15">
        <v>0.06</v>
      </c>
      <c r="R522" s="16">
        <f t="shared" si="42"/>
        <v>366.048</v>
      </c>
      <c r="S522" s="15">
        <v>0</v>
      </c>
      <c r="T522" s="15">
        <v>0</v>
      </c>
      <c r="U522" s="17">
        <f t="shared" si="43"/>
        <v>366.048</v>
      </c>
      <c r="V522" s="12" t="s">
        <v>123</v>
      </c>
      <c r="W522" s="12">
        <v>64</v>
      </c>
    </row>
    <row r="523" spans="4:23" s="12" customFormat="1" ht="30.75" customHeight="1" thickTop="1" thickBot="1" x14ac:dyDescent="0.35">
      <c r="D523" s="10"/>
      <c r="G523" s="13">
        <f t="shared" si="44"/>
        <v>522</v>
      </c>
      <c r="H523" s="18">
        <v>45819</v>
      </c>
      <c r="I523" s="15" t="s">
        <v>31</v>
      </c>
      <c r="J523" s="15">
        <v>9000</v>
      </c>
      <c r="K523" s="15">
        <v>50</v>
      </c>
      <c r="L523" s="15">
        <v>8460</v>
      </c>
      <c r="M523" s="16">
        <f t="shared" si="40"/>
        <v>169.2</v>
      </c>
      <c r="N523" s="15">
        <v>0</v>
      </c>
      <c r="O523" s="16">
        <f t="shared" si="41"/>
        <v>9000</v>
      </c>
      <c r="P523" s="15" t="s">
        <v>18</v>
      </c>
      <c r="Q523" s="15">
        <v>0.06</v>
      </c>
      <c r="R523" s="16">
        <f t="shared" si="42"/>
        <v>540</v>
      </c>
      <c r="S523" s="15">
        <v>0</v>
      </c>
      <c r="T523" s="15">
        <v>0</v>
      </c>
      <c r="U523" s="17">
        <f t="shared" si="43"/>
        <v>540</v>
      </c>
      <c r="V523" s="12" t="s">
        <v>123</v>
      </c>
      <c r="W523" s="12">
        <v>64</v>
      </c>
    </row>
    <row r="524" spans="4:23" s="12" customFormat="1" ht="30.75" customHeight="1" thickTop="1" thickBot="1" x14ac:dyDescent="0.35">
      <c r="D524" s="10"/>
      <c r="G524" s="13">
        <f t="shared" si="44"/>
        <v>523</v>
      </c>
      <c r="H524" s="18">
        <v>45822</v>
      </c>
      <c r="I524" s="15" t="s">
        <v>30</v>
      </c>
      <c r="J524" s="15">
        <v>114048</v>
      </c>
      <c r="K524" s="15">
        <v>400</v>
      </c>
      <c r="L524" s="15">
        <v>83255.039999999994</v>
      </c>
      <c r="M524" s="16">
        <f t="shared" si="40"/>
        <v>208.13759999999999</v>
      </c>
      <c r="N524" s="15">
        <v>0</v>
      </c>
      <c r="O524" s="16">
        <f t="shared" si="41"/>
        <v>114048</v>
      </c>
      <c r="P524" s="15" t="s">
        <v>18</v>
      </c>
      <c r="Q524" s="15">
        <v>0.06</v>
      </c>
      <c r="R524" s="16">
        <f t="shared" si="42"/>
        <v>6842.88</v>
      </c>
      <c r="S524" s="15">
        <v>0</v>
      </c>
      <c r="T524" s="15">
        <v>0</v>
      </c>
      <c r="U524" s="17">
        <f t="shared" si="43"/>
        <v>6842.88</v>
      </c>
      <c r="V524" s="12" t="s">
        <v>123</v>
      </c>
      <c r="W524" s="12">
        <v>65</v>
      </c>
    </row>
    <row r="525" spans="4:23" s="12" customFormat="1" ht="30.75" customHeight="1" thickTop="1" thickBot="1" x14ac:dyDescent="0.35">
      <c r="D525" s="10"/>
      <c r="G525" s="13">
        <f t="shared" si="44"/>
        <v>524</v>
      </c>
      <c r="H525" s="18">
        <v>45822</v>
      </c>
      <c r="I525" s="15" t="s">
        <v>17</v>
      </c>
      <c r="J525" s="15">
        <v>151113.60000000001</v>
      </c>
      <c r="K525" s="15">
        <v>530</v>
      </c>
      <c r="L525" s="15">
        <v>110312.03</v>
      </c>
      <c r="M525" s="16">
        <f t="shared" si="40"/>
        <v>208.13590566037735</v>
      </c>
      <c r="N525" s="15">
        <v>0</v>
      </c>
      <c r="O525" s="16">
        <f t="shared" si="41"/>
        <v>151113.60000000001</v>
      </c>
      <c r="P525" s="15" t="s">
        <v>18</v>
      </c>
      <c r="Q525" s="15">
        <v>0.06</v>
      </c>
      <c r="R525" s="16">
        <f t="shared" si="42"/>
        <v>9066.8160000000007</v>
      </c>
      <c r="S525" s="15">
        <v>0</v>
      </c>
      <c r="T525" s="15">
        <v>0</v>
      </c>
      <c r="U525" s="17">
        <f t="shared" si="43"/>
        <v>9066.8160000000007</v>
      </c>
      <c r="V525" s="12" t="s">
        <v>123</v>
      </c>
      <c r="W525" s="12">
        <v>65</v>
      </c>
    </row>
    <row r="526" spans="4:23" s="12" customFormat="1" ht="30.75" customHeight="1" thickTop="1" thickBot="1" x14ac:dyDescent="0.35">
      <c r="D526" s="10"/>
      <c r="G526" s="13">
        <f t="shared" si="44"/>
        <v>525</v>
      </c>
      <c r="H526" s="18">
        <v>45822</v>
      </c>
      <c r="I526" s="36" t="s">
        <v>20</v>
      </c>
      <c r="J526" s="15">
        <v>864</v>
      </c>
      <c r="K526" s="15">
        <v>3</v>
      </c>
      <c r="L526" s="15">
        <v>812.16</v>
      </c>
      <c r="M526" s="16">
        <f t="shared" si="40"/>
        <v>270.71999999999997</v>
      </c>
      <c r="N526" s="15">
        <v>0</v>
      </c>
      <c r="O526" s="16">
        <f t="shared" si="41"/>
        <v>864</v>
      </c>
      <c r="P526" s="15" t="s">
        <v>18</v>
      </c>
      <c r="Q526" s="15">
        <v>0.06</v>
      </c>
      <c r="R526" s="16">
        <f t="shared" si="42"/>
        <v>51.839999999999996</v>
      </c>
      <c r="S526" s="15">
        <v>0</v>
      </c>
      <c r="T526" s="15">
        <v>0</v>
      </c>
      <c r="U526" s="17">
        <f t="shared" si="43"/>
        <v>51.839999999999996</v>
      </c>
      <c r="V526" s="12" t="s">
        <v>123</v>
      </c>
      <c r="W526" s="12">
        <v>65</v>
      </c>
    </row>
    <row r="527" spans="4:23" s="12" customFormat="1" ht="30.75" customHeight="1" thickTop="1" thickBot="1" x14ac:dyDescent="0.35">
      <c r="D527" s="10"/>
      <c r="G527" s="13">
        <f t="shared" si="44"/>
        <v>526</v>
      </c>
      <c r="H527" s="18">
        <v>45822</v>
      </c>
      <c r="I527" s="15" t="s">
        <v>23</v>
      </c>
      <c r="J527" s="15">
        <v>39600</v>
      </c>
      <c r="K527" s="15">
        <v>220</v>
      </c>
      <c r="L527" s="15">
        <v>37224</v>
      </c>
      <c r="M527" s="16">
        <f t="shared" si="40"/>
        <v>169.2</v>
      </c>
      <c r="N527" s="15">
        <v>0</v>
      </c>
      <c r="O527" s="16">
        <f t="shared" si="41"/>
        <v>39600</v>
      </c>
      <c r="P527" s="15" t="s">
        <v>18</v>
      </c>
      <c r="Q527" s="15">
        <v>0.06</v>
      </c>
      <c r="R527" s="16">
        <f t="shared" si="42"/>
        <v>2376</v>
      </c>
      <c r="S527" s="15">
        <v>0</v>
      </c>
      <c r="T527" s="15">
        <v>0</v>
      </c>
      <c r="U527" s="17">
        <f t="shared" si="43"/>
        <v>2376</v>
      </c>
      <c r="V527" s="12" t="s">
        <v>123</v>
      </c>
      <c r="W527" s="12">
        <v>65</v>
      </c>
    </row>
    <row r="528" spans="4:23" s="12" customFormat="1" ht="30.75" customHeight="1" thickTop="1" thickBot="1" x14ac:dyDescent="0.35">
      <c r="D528" s="10"/>
      <c r="G528" s="13">
        <f t="shared" si="44"/>
        <v>527</v>
      </c>
      <c r="H528" s="18">
        <v>45822</v>
      </c>
      <c r="I528" s="15" t="s">
        <v>24</v>
      </c>
      <c r="J528" s="15">
        <v>10676.4</v>
      </c>
      <c r="K528" s="15">
        <v>35</v>
      </c>
      <c r="L528" s="15">
        <v>10035.82</v>
      </c>
      <c r="M528" s="16">
        <f t="shared" si="40"/>
        <v>286.73771428571428</v>
      </c>
      <c r="N528" s="15">
        <v>0</v>
      </c>
      <c r="O528" s="16">
        <f t="shared" si="41"/>
        <v>10676.4</v>
      </c>
      <c r="P528" s="15" t="s">
        <v>18</v>
      </c>
      <c r="Q528" s="15">
        <v>0.06</v>
      </c>
      <c r="R528" s="16">
        <f t="shared" si="42"/>
        <v>640.58399999999995</v>
      </c>
      <c r="S528" s="15">
        <v>0</v>
      </c>
      <c r="T528" s="15">
        <v>0</v>
      </c>
      <c r="U528" s="17">
        <f t="shared" si="43"/>
        <v>640.58399999999995</v>
      </c>
      <c r="V528" s="12" t="s">
        <v>123</v>
      </c>
      <c r="W528" s="12">
        <v>65</v>
      </c>
    </row>
    <row r="529" spans="4:23" s="12" customFormat="1" ht="30.75" customHeight="1" thickTop="1" thickBot="1" x14ac:dyDescent="0.35">
      <c r="D529" s="10"/>
      <c r="G529" s="13">
        <f t="shared" si="44"/>
        <v>528</v>
      </c>
      <c r="H529" s="18">
        <v>45822</v>
      </c>
      <c r="I529" s="15" t="s">
        <v>31</v>
      </c>
      <c r="J529" s="15">
        <v>7200</v>
      </c>
      <c r="K529" s="15">
        <v>40</v>
      </c>
      <c r="L529" s="15">
        <v>6768</v>
      </c>
      <c r="M529" s="16">
        <f t="shared" si="40"/>
        <v>169.2</v>
      </c>
      <c r="N529" s="15">
        <v>0</v>
      </c>
      <c r="O529" s="16">
        <f t="shared" si="41"/>
        <v>7200</v>
      </c>
      <c r="P529" s="15" t="s">
        <v>18</v>
      </c>
      <c r="Q529" s="15">
        <v>0.06</v>
      </c>
      <c r="R529" s="16">
        <f t="shared" si="42"/>
        <v>432</v>
      </c>
      <c r="S529" s="15">
        <v>0</v>
      </c>
      <c r="T529" s="15">
        <v>0</v>
      </c>
      <c r="U529" s="17">
        <f t="shared" si="43"/>
        <v>432</v>
      </c>
      <c r="V529" s="12" t="s">
        <v>123</v>
      </c>
      <c r="W529" s="12">
        <v>65</v>
      </c>
    </row>
    <row r="530" spans="4:23" s="12" customFormat="1" ht="30.75" customHeight="1" thickTop="1" thickBot="1" x14ac:dyDescent="0.35">
      <c r="D530" s="10"/>
      <c r="G530" s="13">
        <f t="shared" si="44"/>
        <v>529</v>
      </c>
      <c r="H530" s="18">
        <v>45823</v>
      </c>
      <c r="I530" s="15" t="s">
        <v>45</v>
      </c>
      <c r="J530" s="15">
        <v>8526.6</v>
      </c>
      <c r="K530" s="15">
        <v>15</v>
      </c>
      <c r="L530" s="15">
        <v>7827.42</v>
      </c>
      <c r="M530" s="16">
        <f t="shared" si="40"/>
        <v>521.82799999999997</v>
      </c>
      <c r="N530" s="15">
        <v>0</v>
      </c>
      <c r="O530" s="16">
        <f t="shared" si="41"/>
        <v>8526.6</v>
      </c>
      <c r="P530" s="15" t="s">
        <v>33</v>
      </c>
      <c r="Q530" s="15">
        <v>0.01</v>
      </c>
      <c r="R530" s="16">
        <f t="shared" si="42"/>
        <v>85.266000000000005</v>
      </c>
      <c r="S530" s="15">
        <v>0</v>
      </c>
      <c r="T530" s="15">
        <v>0</v>
      </c>
      <c r="U530" s="17">
        <f t="shared" si="43"/>
        <v>85.266000000000005</v>
      </c>
      <c r="V530" s="12" t="s">
        <v>123</v>
      </c>
      <c r="W530" s="12">
        <v>66</v>
      </c>
    </row>
    <row r="531" spans="4:23" s="12" customFormat="1" ht="30.75" customHeight="1" thickTop="1" thickBot="1" x14ac:dyDescent="0.35">
      <c r="D531" s="10"/>
      <c r="G531" s="13">
        <f t="shared" si="44"/>
        <v>530</v>
      </c>
      <c r="H531" s="18">
        <v>45823</v>
      </c>
      <c r="I531" s="15" t="s">
        <v>32</v>
      </c>
      <c r="J531" s="15">
        <v>8526.6</v>
      </c>
      <c r="K531" s="15">
        <v>15</v>
      </c>
      <c r="L531" s="15">
        <v>7827.42</v>
      </c>
      <c r="M531" s="16">
        <f t="shared" si="40"/>
        <v>521.82799999999997</v>
      </c>
      <c r="N531" s="15">
        <v>0</v>
      </c>
      <c r="O531" s="16">
        <f t="shared" si="41"/>
        <v>8526.6</v>
      </c>
      <c r="P531" s="15" t="s">
        <v>33</v>
      </c>
      <c r="Q531" s="15">
        <v>0.01</v>
      </c>
      <c r="R531" s="16">
        <f t="shared" si="42"/>
        <v>85.266000000000005</v>
      </c>
      <c r="S531" s="15">
        <v>0</v>
      </c>
      <c r="T531" s="15">
        <v>0</v>
      </c>
      <c r="U531" s="17">
        <f t="shared" si="43"/>
        <v>85.266000000000005</v>
      </c>
      <c r="V531" s="12" t="s">
        <v>123</v>
      </c>
      <c r="W531" s="12">
        <v>66</v>
      </c>
    </row>
    <row r="532" spans="4:23" s="12" customFormat="1" ht="30.75" customHeight="1" thickTop="1" thickBot="1" x14ac:dyDescent="0.35">
      <c r="D532" s="10"/>
      <c r="G532" s="13">
        <f t="shared" si="44"/>
        <v>531</v>
      </c>
      <c r="H532" s="18">
        <v>45823</v>
      </c>
      <c r="I532" s="15" t="s">
        <v>30</v>
      </c>
      <c r="J532" s="15">
        <v>85536</v>
      </c>
      <c r="K532" s="15">
        <v>300</v>
      </c>
      <c r="L532" s="15">
        <v>62441.279999999999</v>
      </c>
      <c r="M532" s="16">
        <f t="shared" si="40"/>
        <v>208.13759999999999</v>
      </c>
      <c r="N532" s="15">
        <v>0</v>
      </c>
      <c r="O532" s="16">
        <f t="shared" si="41"/>
        <v>85536</v>
      </c>
      <c r="P532" s="15" t="s">
        <v>18</v>
      </c>
      <c r="Q532" s="15">
        <v>0.06</v>
      </c>
      <c r="R532" s="16">
        <f t="shared" si="42"/>
        <v>5132.16</v>
      </c>
      <c r="S532" s="15">
        <v>0</v>
      </c>
      <c r="T532" s="15">
        <v>0</v>
      </c>
      <c r="U532" s="17">
        <f t="shared" si="43"/>
        <v>5132.16</v>
      </c>
      <c r="V532" s="12" t="s">
        <v>123</v>
      </c>
      <c r="W532" s="12">
        <v>66</v>
      </c>
    </row>
    <row r="533" spans="4:23" s="12" customFormat="1" ht="30.75" customHeight="1" thickTop="1" thickBot="1" x14ac:dyDescent="0.35">
      <c r="D533" s="10"/>
      <c r="G533" s="13">
        <f t="shared" si="44"/>
        <v>532</v>
      </c>
      <c r="H533" s="18">
        <v>45823</v>
      </c>
      <c r="I533" s="15" t="s">
        <v>17</v>
      </c>
      <c r="J533" s="15">
        <v>148262.39999999999</v>
      </c>
      <c r="K533" s="15">
        <v>520</v>
      </c>
      <c r="L533" s="15">
        <v>108231.55</v>
      </c>
      <c r="M533" s="16">
        <f t="shared" si="40"/>
        <v>208.13759615384615</v>
      </c>
      <c r="N533" s="15">
        <v>0</v>
      </c>
      <c r="O533" s="16">
        <f t="shared" si="41"/>
        <v>148262.39999999999</v>
      </c>
      <c r="P533" s="15" t="s">
        <v>18</v>
      </c>
      <c r="Q533" s="15">
        <v>0.06</v>
      </c>
      <c r="R533" s="16">
        <f t="shared" si="42"/>
        <v>8895.7439999999988</v>
      </c>
      <c r="S533" s="15">
        <v>0</v>
      </c>
      <c r="T533" s="15">
        <v>0</v>
      </c>
      <c r="U533" s="17">
        <f t="shared" si="43"/>
        <v>8895.7439999999988</v>
      </c>
      <c r="V533" s="12" t="s">
        <v>123</v>
      </c>
      <c r="W533" s="12">
        <v>66</v>
      </c>
    </row>
    <row r="534" spans="4:23" s="12" customFormat="1" ht="30.75" customHeight="1" thickTop="1" thickBot="1" x14ac:dyDescent="0.35">
      <c r="D534" s="10"/>
      <c r="G534" s="13">
        <f t="shared" si="44"/>
        <v>533</v>
      </c>
      <c r="H534" s="18">
        <v>45823</v>
      </c>
      <c r="I534" s="15" t="s">
        <v>35</v>
      </c>
      <c r="J534" s="15">
        <v>6132</v>
      </c>
      <c r="K534" s="15">
        <v>35</v>
      </c>
      <c r="L534" s="15">
        <v>5764.08</v>
      </c>
      <c r="M534" s="16">
        <f t="shared" si="40"/>
        <v>164.68799999999999</v>
      </c>
      <c r="N534" s="15">
        <v>0</v>
      </c>
      <c r="O534" s="16">
        <f t="shared" si="41"/>
        <v>6132</v>
      </c>
      <c r="P534" s="15" t="s">
        <v>18</v>
      </c>
      <c r="Q534" s="15">
        <v>0.06</v>
      </c>
      <c r="R534" s="16">
        <f t="shared" si="42"/>
        <v>367.91999999999996</v>
      </c>
      <c r="S534" s="15">
        <v>0</v>
      </c>
      <c r="T534" s="15">
        <v>0</v>
      </c>
      <c r="U534" s="17">
        <f t="shared" si="43"/>
        <v>367.91999999999996</v>
      </c>
      <c r="V534" s="12" t="s">
        <v>123</v>
      </c>
      <c r="W534" s="12">
        <v>66</v>
      </c>
    </row>
    <row r="535" spans="4:23" s="12" customFormat="1" ht="30.75" customHeight="1" thickTop="1" thickBot="1" x14ac:dyDescent="0.35">
      <c r="D535" s="10"/>
      <c r="G535" s="13">
        <f t="shared" si="44"/>
        <v>534</v>
      </c>
      <c r="H535" s="18">
        <v>45823</v>
      </c>
      <c r="I535" s="36" t="s">
        <v>20</v>
      </c>
      <c r="J535" s="15">
        <v>1440</v>
      </c>
      <c r="K535" s="15">
        <v>5</v>
      </c>
      <c r="L535" s="15">
        <v>1353.6</v>
      </c>
      <c r="M535" s="16">
        <f t="shared" si="40"/>
        <v>270.71999999999997</v>
      </c>
      <c r="N535" s="15">
        <v>0</v>
      </c>
      <c r="O535" s="16">
        <f t="shared" si="41"/>
        <v>1440</v>
      </c>
      <c r="P535" s="15" t="s">
        <v>18</v>
      </c>
      <c r="Q535" s="15">
        <v>0.06</v>
      </c>
      <c r="R535" s="16">
        <f t="shared" si="42"/>
        <v>86.399999999999991</v>
      </c>
      <c r="S535" s="15">
        <v>0</v>
      </c>
      <c r="T535" s="15">
        <v>0</v>
      </c>
      <c r="U535" s="17">
        <f t="shared" si="43"/>
        <v>86.399999999999991</v>
      </c>
      <c r="V535" s="12" t="s">
        <v>123</v>
      </c>
      <c r="W535" s="12">
        <v>66</v>
      </c>
    </row>
    <row r="536" spans="4:23" s="12" customFormat="1" ht="30.75" customHeight="1" thickTop="1" thickBot="1" x14ac:dyDescent="0.35">
      <c r="D536" s="10"/>
      <c r="G536" s="13">
        <f t="shared" si="44"/>
        <v>535</v>
      </c>
      <c r="H536" s="18">
        <v>45823</v>
      </c>
      <c r="I536" s="15" t="s">
        <v>21</v>
      </c>
      <c r="J536" s="15">
        <v>9151.2000000000007</v>
      </c>
      <c r="K536" s="15">
        <v>41</v>
      </c>
      <c r="L536" s="15">
        <v>8602.1299999999992</v>
      </c>
      <c r="M536" s="16">
        <f t="shared" si="40"/>
        <v>209.80804878048778</v>
      </c>
      <c r="N536" s="15">
        <v>0</v>
      </c>
      <c r="O536" s="16">
        <f t="shared" si="41"/>
        <v>9151.2000000000007</v>
      </c>
      <c r="P536" s="15" t="s">
        <v>18</v>
      </c>
      <c r="Q536" s="15">
        <v>0.06</v>
      </c>
      <c r="R536" s="16">
        <f t="shared" si="42"/>
        <v>549.072</v>
      </c>
      <c r="S536" s="15">
        <v>0</v>
      </c>
      <c r="T536" s="15">
        <v>0</v>
      </c>
      <c r="U536" s="17">
        <f t="shared" si="43"/>
        <v>549.072</v>
      </c>
      <c r="V536" s="12" t="s">
        <v>123</v>
      </c>
      <c r="W536" s="12">
        <v>66</v>
      </c>
    </row>
    <row r="537" spans="4:23" s="12" customFormat="1" ht="30.75" customHeight="1" thickTop="1" thickBot="1" x14ac:dyDescent="0.35">
      <c r="D537" s="10"/>
      <c r="G537" s="13">
        <f t="shared" si="44"/>
        <v>536</v>
      </c>
      <c r="H537" s="18">
        <v>45823</v>
      </c>
      <c r="I537" s="15" t="s">
        <v>22</v>
      </c>
      <c r="J537" s="15">
        <v>4038.75</v>
      </c>
      <c r="K537" s="15">
        <v>15</v>
      </c>
      <c r="L537" s="15">
        <v>3796.43</v>
      </c>
      <c r="M537" s="16">
        <f t="shared" si="40"/>
        <v>253.09533333333331</v>
      </c>
      <c r="N537" s="15">
        <v>0</v>
      </c>
      <c r="O537" s="16">
        <f t="shared" si="41"/>
        <v>4038.75</v>
      </c>
      <c r="P537" s="15" t="s">
        <v>18</v>
      </c>
      <c r="Q537" s="15">
        <v>0.06</v>
      </c>
      <c r="R537" s="16">
        <f t="shared" si="42"/>
        <v>242.32499999999999</v>
      </c>
      <c r="S537" s="15">
        <v>0</v>
      </c>
      <c r="T537" s="15">
        <v>0</v>
      </c>
      <c r="U537" s="17">
        <f t="shared" si="43"/>
        <v>242.32499999999999</v>
      </c>
      <c r="V537" s="12" t="s">
        <v>123</v>
      </c>
      <c r="W537" s="12">
        <v>66</v>
      </c>
    </row>
    <row r="538" spans="4:23" s="12" customFormat="1" ht="30.75" customHeight="1" thickTop="1" thickBot="1" x14ac:dyDescent="0.35">
      <c r="D538" s="10"/>
      <c r="G538" s="13">
        <f t="shared" si="44"/>
        <v>537</v>
      </c>
      <c r="H538" s="18">
        <v>45823</v>
      </c>
      <c r="I538" s="15" t="s">
        <v>23</v>
      </c>
      <c r="J538" s="15">
        <v>49500</v>
      </c>
      <c r="K538" s="15">
        <v>275</v>
      </c>
      <c r="L538" s="15">
        <v>46530</v>
      </c>
      <c r="M538" s="16">
        <f t="shared" si="40"/>
        <v>169.2</v>
      </c>
      <c r="N538" s="15">
        <v>0</v>
      </c>
      <c r="O538" s="16">
        <f t="shared" si="41"/>
        <v>49500</v>
      </c>
      <c r="P538" s="15" t="s">
        <v>18</v>
      </c>
      <c r="Q538" s="15">
        <v>0.06</v>
      </c>
      <c r="R538" s="16">
        <f t="shared" si="42"/>
        <v>2970</v>
      </c>
      <c r="S538" s="15">
        <v>0</v>
      </c>
      <c r="T538" s="15">
        <v>0</v>
      </c>
      <c r="U538" s="17">
        <f t="shared" si="43"/>
        <v>2970</v>
      </c>
      <c r="V538" s="12" t="s">
        <v>123</v>
      </c>
      <c r="W538" s="12">
        <v>66</v>
      </c>
    </row>
    <row r="539" spans="4:23" s="12" customFormat="1" ht="30.75" customHeight="1" thickTop="1" thickBot="1" x14ac:dyDescent="0.35">
      <c r="D539" s="10"/>
      <c r="G539" s="13">
        <f t="shared" si="44"/>
        <v>538</v>
      </c>
      <c r="H539" s="18">
        <v>45823</v>
      </c>
      <c r="I539" s="15" t="s">
        <v>24</v>
      </c>
      <c r="J539" s="15">
        <v>10676.4</v>
      </c>
      <c r="K539" s="15">
        <v>35</v>
      </c>
      <c r="L539" s="15">
        <v>10035.82</v>
      </c>
      <c r="M539" s="16">
        <f t="shared" si="40"/>
        <v>286.73771428571428</v>
      </c>
      <c r="N539" s="15">
        <v>0</v>
      </c>
      <c r="O539" s="16">
        <f t="shared" si="41"/>
        <v>10676.4</v>
      </c>
      <c r="P539" s="15" t="s">
        <v>18</v>
      </c>
      <c r="Q539" s="15">
        <v>0.06</v>
      </c>
      <c r="R539" s="16">
        <f t="shared" si="42"/>
        <v>640.58399999999995</v>
      </c>
      <c r="S539" s="15">
        <v>0</v>
      </c>
      <c r="T539" s="15">
        <v>0</v>
      </c>
      <c r="U539" s="17">
        <f t="shared" si="43"/>
        <v>640.58399999999995</v>
      </c>
      <c r="V539" s="12" t="s">
        <v>123</v>
      </c>
      <c r="W539" s="12">
        <v>66</v>
      </c>
    </row>
    <row r="540" spans="4:23" s="12" customFormat="1" ht="30.75" customHeight="1" thickTop="1" thickBot="1" x14ac:dyDescent="0.35">
      <c r="D540" s="10"/>
      <c r="G540" s="13">
        <f t="shared" si="44"/>
        <v>539</v>
      </c>
      <c r="H540" s="18">
        <v>45823</v>
      </c>
      <c r="I540" s="15" t="s">
        <v>31</v>
      </c>
      <c r="J540" s="15">
        <v>9000</v>
      </c>
      <c r="K540" s="15">
        <v>50</v>
      </c>
      <c r="L540" s="15">
        <v>8460</v>
      </c>
      <c r="M540" s="16">
        <f t="shared" si="40"/>
        <v>169.2</v>
      </c>
      <c r="N540" s="15">
        <v>0</v>
      </c>
      <c r="O540" s="16">
        <f t="shared" si="41"/>
        <v>9000</v>
      </c>
      <c r="P540" s="15" t="s">
        <v>18</v>
      </c>
      <c r="Q540" s="15">
        <v>0.06</v>
      </c>
      <c r="R540" s="16">
        <f t="shared" si="42"/>
        <v>540</v>
      </c>
      <c r="S540" s="15">
        <v>0</v>
      </c>
      <c r="T540" s="15">
        <v>0</v>
      </c>
      <c r="U540" s="17">
        <f t="shared" si="43"/>
        <v>540</v>
      </c>
      <c r="V540" s="12" t="s">
        <v>123</v>
      </c>
      <c r="W540" s="12">
        <v>66</v>
      </c>
    </row>
    <row r="541" spans="4:23" s="12" customFormat="1" ht="30.75" customHeight="1" thickTop="1" thickBot="1" x14ac:dyDescent="0.35">
      <c r="D541" s="10"/>
      <c r="G541" s="13">
        <f t="shared" si="44"/>
        <v>540</v>
      </c>
      <c r="H541" s="18">
        <v>45824</v>
      </c>
      <c r="I541" s="15" t="s">
        <v>30</v>
      </c>
      <c r="J541" s="15">
        <v>14256</v>
      </c>
      <c r="K541" s="15">
        <v>50</v>
      </c>
      <c r="L541" s="15">
        <v>10406.879999999999</v>
      </c>
      <c r="M541" s="16">
        <f t="shared" si="40"/>
        <v>208.13759999999999</v>
      </c>
      <c r="N541" s="15">
        <v>0</v>
      </c>
      <c r="O541" s="16">
        <f t="shared" si="41"/>
        <v>14256</v>
      </c>
      <c r="P541" s="15" t="s">
        <v>18</v>
      </c>
      <c r="Q541" s="15">
        <v>0.06</v>
      </c>
      <c r="R541" s="16">
        <f t="shared" si="42"/>
        <v>855.36</v>
      </c>
      <c r="S541" s="15">
        <v>0</v>
      </c>
      <c r="T541" s="15">
        <v>0</v>
      </c>
      <c r="U541" s="17">
        <f t="shared" si="43"/>
        <v>855.36</v>
      </c>
      <c r="V541" s="12" t="s">
        <v>123</v>
      </c>
      <c r="W541" s="12">
        <v>67</v>
      </c>
    </row>
    <row r="542" spans="4:23" s="12" customFormat="1" ht="30.75" customHeight="1" thickTop="1" thickBot="1" x14ac:dyDescent="0.35">
      <c r="D542" s="10"/>
      <c r="G542" s="13">
        <f t="shared" si="44"/>
        <v>541</v>
      </c>
      <c r="H542" s="18">
        <v>45824</v>
      </c>
      <c r="I542" s="15" t="s">
        <v>17</v>
      </c>
      <c r="J542" s="15">
        <v>42768</v>
      </c>
      <c r="K542" s="15">
        <v>150</v>
      </c>
      <c r="L542" s="15">
        <v>31220.639999999999</v>
      </c>
      <c r="M542" s="16">
        <f t="shared" si="40"/>
        <v>208.13759999999999</v>
      </c>
      <c r="N542" s="15">
        <v>0</v>
      </c>
      <c r="O542" s="16">
        <f t="shared" si="41"/>
        <v>42768</v>
      </c>
      <c r="P542" s="15" t="s">
        <v>18</v>
      </c>
      <c r="Q542" s="15">
        <v>0.06</v>
      </c>
      <c r="R542" s="16">
        <f t="shared" si="42"/>
        <v>2566.08</v>
      </c>
      <c r="S542" s="15">
        <v>0</v>
      </c>
      <c r="T542" s="15">
        <v>0</v>
      </c>
      <c r="U542" s="17">
        <f t="shared" si="43"/>
        <v>2566.08</v>
      </c>
      <c r="V542" s="12" t="s">
        <v>123</v>
      </c>
      <c r="W542" s="12">
        <v>67</v>
      </c>
    </row>
    <row r="543" spans="4:23" s="12" customFormat="1" ht="30.75" customHeight="1" thickTop="1" thickBot="1" x14ac:dyDescent="0.35">
      <c r="D543" s="10"/>
      <c r="G543" s="13">
        <f t="shared" si="44"/>
        <v>542</v>
      </c>
      <c r="H543" s="18">
        <v>45826</v>
      </c>
      <c r="I543" s="15" t="s">
        <v>30</v>
      </c>
      <c r="J543" s="15">
        <v>171072</v>
      </c>
      <c r="K543" s="15">
        <v>600</v>
      </c>
      <c r="L543" s="15">
        <v>124882.56</v>
      </c>
      <c r="M543" s="16">
        <f t="shared" si="40"/>
        <v>208.13759999999999</v>
      </c>
      <c r="N543" s="15">
        <v>0</v>
      </c>
      <c r="O543" s="16">
        <f t="shared" si="41"/>
        <v>171072</v>
      </c>
      <c r="P543" s="15" t="s">
        <v>18</v>
      </c>
      <c r="Q543" s="15">
        <v>0.06</v>
      </c>
      <c r="R543" s="16">
        <f t="shared" si="42"/>
        <v>10264.32</v>
      </c>
      <c r="S543" s="15">
        <v>0</v>
      </c>
      <c r="T543" s="15">
        <v>0</v>
      </c>
      <c r="U543" s="17">
        <f t="shared" si="43"/>
        <v>10264.32</v>
      </c>
      <c r="V543" s="12" t="s">
        <v>123</v>
      </c>
      <c r="W543" s="12">
        <v>68</v>
      </c>
    </row>
    <row r="544" spans="4:23" s="12" customFormat="1" ht="30.75" customHeight="1" thickTop="1" thickBot="1" x14ac:dyDescent="0.35">
      <c r="D544" s="10"/>
      <c r="G544" s="13">
        <f t="shared" si="44"/>
        <v>543</v>
      </c>
      <c r="H544" s="18">
        <v>45826</v>
      </c>
      <c r="I544" s="15" t="s">
        <v>17</v>
      </c>
      <c r="J544" s="15">
        <v>285120</v>
      </c>
      <c r="K544" s="15">
        <v>1000</v>
      </c>
      <c r="L544" s="15">
        <v>208137.60000000001</v>
      </c>
      <c r="M544" s="16">
        <f t="shared" si="40"/>
        <v>208.13759999999999</v>
      </c>
      <c r="N544" s="15">
        <v>0</v>
      </c>
      <c r="O544" s="16">
        <f t="shared" si="41"/>
        <v>285120</v>
      </c>
      <c r="P544" s="15" t="s">
        <v>18</v>
      </c>
      <c r="Q544" s="15">
        <v>0.06</v>
      </c>
      <c r="R544" s="16">
        <f t="shared" si="42"/>
        <v>17107.2</v>
      </c>
      <c r="S544" s="15">
        <v>0</v>
      </c>
      <c r="T544" s="15">
        <v>0</v>
      </c>
      <c r="U544" s="17">
        <f t="shared" si="43"/>
        <v>17107.2</v>
      </c>
      <c r="V544" s="12" t="s">
        <v>123</v>
      </c>
      <c r="W544" s="12">
        <v>68</v>
      </c>
    </row>
    <row r="545" spans="4:23" s="12" customFormat="1" ht="30.75" customHeight="1" thickTop="1" thickBot="1" x14ac:dyDescent="0.35">
      <c r="D545" s="10"/>
      <c r="G545" s="13">
        <f t="shared" si="44"/>
        <v>544</v>
      </c>
      <c r="H545" s="18">
        <v>45826</v>
      </c>
      <c r="I545" s="15" t="s">
        <v>35</v>
      </c>
      <c r="J545" s="15">
        <v>8760</v>
      </c>
      <c r="K545" s="15">
        <v>50</v>
      </c>
      <c r="L545" s="15">
        <v>8234.4</v>
      </c>
      <c r="M545" s="16">
        <f t="shared" si="40"/>
        <v>164.68799999999999</v>
      </c>
      <c r="N545" s="15">
        <v>0</v>
      </c>
      <c r="O545" s="16">
        <f t="shared" si="41"/>
        <v>8760</v>
      </c>
      <c r="P545" s="15" t="s">
        <v>18</v>
      </c>
      <c r="Q545" s="15">
        <v>0.06</v>
      </c>
      <c r="R545" s="16">
        <f t="shared" si="42"/>
        <v>525.6</v>
      </c>
      <c r="S545" s="15">
        <v>0</v>
      </c>
      <c r="T545" s="15">
        <v>0</v>
      </c>
      <c r="U545" s="17">
        <f t="shared" si="43"/>
        <v>525.6</v>
      </c>
      <c r="V545" s="12" t="s">
        <v>123</v>
      </c>
      <c r="W545" s="12">
        <v>68</v>
      </c>
    </row>
    <row r="546" spans="4:23" s="12" customFormat="1" ht="30.75" customHeight="1" thickTop="1" thickBot="1" x14ac:dyDescent="0.35">
      <c r="D546" s="10"/>
      <c r="G546" s="13">
        <f t="shared" si="44"/>
        <v>545</v>
      </c>
      <c r="H546" s="18">
        <v>45826</v>
      </c>
      <c r="I546" s="36" t="s">
        <v>20</v>
      </c>
      <c r="J546" s="15">
        <v>2880</v>
      </c>
      <c r="K546" s="15">
        <v>10</v>
      </c>
      <c r="L546" s="15">
        <v>2707.2</v>
      </c>
      <c r="M546" s="16">
        <f t="shared" si="40"/>
        <v>270.71999999999997</v>
      </c>
      <c r="N546" s="15">
        <v>0</v>
      </c>
      <c r="O546" s="16">
        <f t="shared" si="41"/>
        <v>2880</v>
      </c>
      <c r="P546" s="15" t="s">
        <v>18</v>
      </c>
      <c r="Q546" s="15">
        <v>0.06</v>
      </c>
      <c r="R546" s="16">
        <f t="shared" si="42"/>
        <v>172.79999999999998</v>
      </c>
      <c r="S546" s="15">
        <v>0</v>
      </c>
      <c r="T546" s="15">
        <v>0</v>
      </c>
      <c r="U546" s="17">
        <f t="shared" si="43"/>
        <v>172.79999999999998</v>
      </c>
      <c r="V546" s="12" t="s">
        <v>123</v>
      </c>
      <c r="W546" s="12">
        <v>68</v>
      </c>
    </row>
    <row r="547" spans="4:23" s="12" customFormat="1" ht="30.75" customHeight="1" thickTop="1" thickBot="1" x14ac:dyDescent="0.35">
      <c r="D547" s="10"/>
      <c r="G547" s="13">
        <f t="shared" si="44"/>
        <v>546</v>
      </c>
      <c r="H547" s="18">
        <v>45826</v>
      </c>
      <c r="I547" s="15" t="s">
        <v>21</v>
      </c>
      <c r="J547" s="15">
        <v>9820.7999999999993</v>
      </c>
      <c r="K547" s="15">
        <v>44</v>
      </c>
      <c r="L547" s="15">
        <v>9231.5499999999993</v>
      </c>
      <c r="M547" s="16">
        <f t="shared" si="40"/>
        <v>209.80795454545452</v>
      </c>
      <c r="N547" s="15">
        <v>0</v>
      </c>
      <c r="O547" s="16">
        <f t="shared" si="41"/>
        <v>9820.7999999999993</v>
      </c>
      <c r="P547" s="15" t="s">
        <v>18</v>
      </c>
      <c r="Q547" s="15">
        <v>0.06</v>
      </c>
      <c r="R547" s="16">
        <f t="shared" si="42"/>
        <v>589.24799999999993</v>
      </c>
      <c r="S547" s="15">
        <v>0</v>
      </c>
      <c r="T547" s="15">
        <v>0</v>
      </c>
      <c r="U547" s="17">
        <f t="shared" si="43"/>
        <v>589.24799999999993</v>
      </c>
      <c r="V547" s="12" t="s">
        <v>123</v>
      </c>
      <c r="W547" s="12">
        <v>68</v>
      </c>
    </row>
    <row r="548" spans="4:23" s="12" customFormat="1" ht="30.75" customHeight="1" thickTop="1" thickBot="1" x14ac:dyDescent="0.35">
      <c r="D548" s="10"/>
      <c r="G548" s="13">
        <f t="shared" si="44"/>
        <v>547</v>
      </c>
      <c r="H548" s="18">
        <v>45826</v>
      </c>
      <c r="I548" s="15" t="s">
        <v>22</v>
      </c>
      <c r="J548" s="15">
        <v>8077.5</v>
      </c>
      <c r="K548" s="15">
        <v>30</v>
      </c>
      <c r="L548" s="15">
        <v>7592.85</v>
      </c>
      <c r="M548" s="16">
        <f t="shared" si="40"/>
        <v>253.095</v>
      </c>
      <c r="N548" s="15">
        <v>0</v>
      </c>
      <c r="O548" s="16">
        <f t="shared" si="41"/>
        <v>8077.5</v>
      </c>
      <c r="P548" s="15" t="s">
        <v>18</v>
      </c>
      <c r="Q548" s="15">
        <v>0.06</v>
      </c>
      <c r="R548" s="16">
        <f t="shared" si="42"/>
        <v>484.65</v>
      </c>
      <c r="S548" s="15">
        <v>0</v>
      </c>
      <c r="T548" s="15">
        <v>0</v>
      </c>
      <c r="U548" s="17">
        <f t="shared" si="43"/>
        <v>484.65</v>
      </c>
      <c r="V548" s="12" t="s">
        <v>123</v>
      </c>
      <c r="W548" s="12">
        <v>68</v>
      </c>
    </row>
    <row r="549" spans="4:23" s="12" customFormat="1" ht="30.75" customHeight="1" thickTop="1" thickBot="1" x14ac:dyDescent="0.35">
      <c r="D549" s="10"/>
      <c r="G549" s="13">
        <f t="shared" si="44"/>
        <v>548</v>
      </c>
      <c r="H549" s="18">
        <v>45826</v>
      </c>
      <c r="I549" s="15" t="s">
        <v>23</v>
      </c>
      <c r="J549" s="15">
        <v>114300</v>
      </c>
      <c r="K549" s="15">
        <v>635</v>
      </c>
      <c r="L549" s="15">
        <v>107442</v>
      </c>
      <c r="M549" s="16">
        <f t="shared" si="40"/>
        <v>169.2</v>
      </c>
      <c r="N549" s="15">
        <v>0</v>
      </c>
      <c r="O549" s="16">
        <f t="shared" si="41"/>
        <v>114300</v>
      </c>
      <c r="P549" s="15" t="s">
        <v>18</v>
      </c>
      <c r="Q549" s="15">
        <v>0.06</v>
      </c>
      <c r="R549" s="16">
        <f t="shared" si="42"/>
        <v>6858</v>
      </c>
      <c r="S549" s="15">
        <v>0</v>
      </c>
      <c r="T549" s="15">
        <v>0</v>
      </c>
      <c r="U549" s="17">
        <f t="shared" si="43"/>
        <v>6858</v>
      </c>
      <c r="V549" s="12" t="s">
        <v>123</v>
      </c>
      <c r="W549" s="12">
        <v>68</v>
      </c>
    </row>
    <row r="550" spans="4:23" s="12" customFormat="1" ht="30.75" customHeight="1" thickTop="1" thickBot="1" x14ac:dyDescent="0.35">
      <c r="D550" s="10"/>
      <c r="G550" s="13">
        <f t="shared" si="44"/>
        <v>549</v>
      </c>
      <c r="H550" s="18">
        <v>45826</v>
      </c>
      <c r="I550" s="15" t="s">
        <v>24</v>
      </c>
      <c r="J550" s="15">
        <v>18302.400000000001</v>
      </c>
      <c r="K550" s="15">
        <v>60</v>
      </c>
      <c r="L550" s="15">
        <v>17204.259999999998</v>
      </c>
      <c r="M550" s="16">
        <f t="shared" si="40"/>
        <v>286.73766666666666</v>
      </c>
      <c r="N550" s="15">
        <v>0</v>
      </c>
      <c r="O550" s="16">
        <f t="shared" si="41"/>
        <v>18302.400000000001</v>
      </c>
      <c r="P550" s="15" t="s">
        <v>18</v>
      </c>
      <c r="Q550" s="15">
        <v>0.06</v>
      </c>
      <c r="R550" s="16">
        <f t="shared" si="42"/>
        <v>1098.144</v>
      </c>
      <c r="S550" s="15">
        <v>0</v>
      </c>
      <c r="T550" s="15">
        <v>0</v>
      </c>
      <c r="U550" s="17">
        <f t="shared" si="43"/>
        <v>1098.144</v>
      </c>
      <c r="V550" s="12" t="s">
        <v>123</v>
      </c>
      <c r="W550" s="12">
        <v>68</v>
      </c>
    </row>
    <row r="551" spans="4:23" s="12" customFormat="1" ht="30.75" customHeight="1" thickTop="1" thickBot="1" x14ac:dyDescent="0.35">
      <c r="D551" s="10"/>
      <c r="G551" s="13">
        <f t="shared" si="44"/>
        <v>550</v>
      </c>
      <c r="H551" s="18">
        <v>45826</v>
      </c>
      <c r="I551" s="15" t="s">
        <v>31</v>
      </c>
      <c r="J551" s="15">
        <v>12600</v>
      </c>
      <c r="K551" s="15">
        <v>70</v>
      </c>
      <c r="L551" s="15">
        <v>11844</v>
      </c>
      <c r="M551" s="16">
        <f t="shared" si="40"/>
        <v>169.2</v>
      </c>
      <c r="N551" s="15">
        <v>0</v>
      </c>
      <c r="O551" s="16">
        <f t="shared" si="41"/>
        <v>12600</v>
      </c>
      <c r="P551" s="15" t="s">
        <v>18</v>
      </c>
      <c r="Q551" s="15">
        <v>0.06</v>
      </c>
      <c r="R551" s="16">
        <f t="shared" si="42"/>
        <v>756</v>
      </c>
      <c r="S551" s="15">
        <v>0</v>
      </c>
      <c r="T551" s="15">
        <v>0</v>
      </c>
      <c r="U551" s="17">
        <f t="shared" si="43"/>
        <v>756</v>
      </c>
      <c r="V551" s="12" t="s">
        <v>123</v>
      </c>
      <c r="W551" s="12">
        <v>68</v>
      </c>
    </row>
    <row r="552" spans="4:23" s="12" customFormat="1" ht="30.75" customHeight="1" thickTop="1" thickBot="1" x14ac:dyDescent="0.35">
      <c r="D552" s="10"/>
      <c r="G552" s="13">
        <f t="shared" si="44"/>
        <v>551</v>
      </c>
      <c r="H552" s="18">
        <v>45829</v>
      </c>
      <c r="I552" s="15" t="s">
        <v>30</v>
      </c>
      <c r="J552" s="15">
        <v>21384</v>
      </c>
      <c r="K552" s="15">
        <v>75</v>
      </c>
      <c r="L552" s="15">
        <v>15610.32</v>
      </c>
      <c r="M552" s="16">
        <f t="shared" si="40"/>
        <v>208.13759999999999</v>
      </c>
      <c r="N552" s="15">
        <v>0</v>
      </c>
      <c r="O552" s="16">
        <f t="shared" si="41"/>
        <v>21384</v>
      </c>
      <c r="P552" s="15" t="s">
        <v>18</v>
      </c>
      <c r="Q552" s="15">
        <v>0.06</v>
      </c>
      <c r="R552" s="16">
        <f t="shared" si="42"/>
        <v>1283.04</v>
      </c>
      <c r="S552" s="15">
        <v>0</v>
      </c>
      <c r="T552" s="15">
        <v>0</v>
      </c>
      <c r="U552" s="17">
        <f t="shared" si="43"/>
        <v>1283.04</v>
      </c>
      <c r="V552" s="12" t="s">
        <v>123</v>
      </c>
      <c r="W552" s="12">
        <v>69</v>
      </c>
    </row>
    <row r="553" spans="4:23" s="12" customFormat="1" ht="30.75" customHeight="1" thickTop="1" thickBot="1" x14ac:dyDescent="0.35">
      <c r="D553" s="10"/>
      <c r="G553" s="13">
        <f t="shared" si="44"/>
        <v>552</v>
      </c>
      <c r="H553" s="18">
        <v>45831</v>
      </c>
      <c r="I553" s="15" t="s">
        <v>17</v>
      </c>
      <c r="J553" s="15">
        <v>21384</v>
      </c>
      <c r="K553" s="15">
        <v>75</v>
      </c>
      <c r="L553" s="15">
        <v>15610.32</v>
      </c>
      <c r="M553" s="16">
        <f t="shared" si="40"/>
        <v>208.13759999999999</v>
      </c>
      <c r="N553" s="15">
        <v>0</v>
      </c>
      <c r="O553" s="16">
        <f t="shared" si="41"/>
        <v>21384</v>
      </c>
      <c r="P553" s="15" t="s">
        <v>18</v>
      </c>
      <c r="Q553" s="15">
        <v>0.06</v>
      </c>
      <c r="R553" s="16">
        <f t="shared" si="42"/>
        <v>1283.04</v>
      </c>
      <c r="S553" s="15">
        <v>0</v>
      </c>
      <c r="T553" s="15">
        <v>0</v>
      </c>
      <c r="U553" s="17">
        <f t="shared" si="43"/>
        <v>1283.04</v>
      </c>
      <c r="V553" s="12" t="s">
        <v>123</v>
      </c>
      <c r="W553" s="12">
        <v>70</v>
      </c>
    </row>
    <row r="554" spans="4:23" s="12" customFormat="1" ht="30.75" customHeight="1" thickTop="1" thickBot="1" x14ac:dyDescent="0.35">
      <c r="D554" s="10"/>
      <c r="G554" s="13">
        <f t="shared" si="44"/>
        <v>553</v>
      </c>
      <c r="H554" s="18">
        <v>45831</v>
      </c>
      <c r="I554" s="15" t="s">
        <v>30</v>
      </c>
      <c r="J554" s="15">
        <v>85536</v>
      </c>
      <c r="K554" s="15">
        <v>300</v>
      </c>
      <c r="L554" s="15">
        <v>62441.279999999999</v>
      </c>
      <c r="M554" s="16">
        <f t="shared" si="40"/>
        <v>208.13759999999999</v>
      </c>
      <c r="N554" s="15">
        <v>0</v>
      </c>
      <c r="O554" s="16">
        <f t="shared" si="41"/>
        <v>85536</v>
      </c>
      <c r="P554" s="15" t="s">
        <v>18</v>
      </c>
      <c r="Q554" s="15">
        <v>0.06</v>
      </c>
      <c r="R554" s="16">
        <f t="shared" si="42"/>
        <v>5132.16</v>
      </c>
      <c r="S554" s="15">
        <v>0</v>
      </c>
      <c r="T554" s="15">
        <v>0</v>
      </c>
      <c r="U554" s="17">
        <f t="shared" si="43"/>
        <v>5132.16</v>
      </c>
      <c r="V554" s="12" t="s">
        <v>123</v>
      </c>
      <c r="W554" s="12">
        <v>70</v>
      </c>
    </row>
    <row r="555" spans="4:23" s="12" customFormat="1" ht="30.75" customHeight="1" thickTop="1" thickBot="1" x14ac:dyDescent="0.35">
      <c r="D555" s="10"/>
      <c r="G555" s="13">
        <f t="shared" si="44"/>
        <v>554</v>
      </c>
      <c r="H555" s="18">
        <v>45831</v>
      </c>
      <c r="I555" s="15" t="s">
        <v>17</v>
      </c>
      <c r="J555" s="15">
        <v>142560</v>
      </c>
      <c r="K555" s="15">
        <v>500</v>
      </c>
      <c r="L555" s="15">
        <v>104068.8</v>
      </c>
      <c r="M555" s="16">
        <f t="shared" si="40"/>
        <v>208.13759999999999</v>
      </c>
      <c r="N555" s="15">
        <v>0</v>
      </c>
      <c r="O555" s="16">
        <f t="shared" si="41"/>
        <v>142560</v>
      </c>
      <c r="P555" s="15" t="s">
        <v>18</v>
      </c>
      <c r="Q555" s="15">
        <v>0.06</v>
      </c>
      <c r="R555" s="16">
        <f t="shared" si="42"/>
        <v>8553.6</v>
      </c>
      <c r="S555" s="15">
        <v>0</v>
      </c>
      <c r="T555" s="15">
        <v>0</v>
      </c>
      <c r="U555" s="17">
        <f t="shared" si="43"/>
        <v>8553.6</v>
      </c>
      <c r="V555" s="12" t="s">
        <v>123</v>
      </c>
      <c r="W555" s="12">
        <v>70</v>
      </c>
    </row>
    <row r="556" spans="4:23" s="12" customFormat="1" ht="30.75" customHeight="1" thickTop="1" thickBot="1" x14ac:dyDescent="0.35">
      <c r="D556" s="10"/>
      <c r="G556" s="13">
        <f t="shared" si="44"/>
        <v>555</v>
      </c>
      <c r="H556" s="18">
        <v>45831</v>
      </c>
      <c r="I556" s="36" t="s">
        <v>20</v>
      </c>
      <c r="J556" s="15">
        <v>576</v>
      </c>
      <c r="K556" s="15">
        <v>2</v>
      </c>
      <c r="L556" s="15">
        <v>541.44000000000005</v>
      </c>
      <c r="M556" s="16">
        <f t="shared" si="40"/>
        <v>270.72000000000003</v>
      </c>
      <c r="N556" s="15">
        <v>0</v>
      </c>
      <c r="O556" s="16">
        <f t="shared" si="41"/>
        <v>576</v>
      </c>
      <c r="P556" s="15" t="s">
        <v>18</v>
      </c>
      <c r="Q556" s="15">
        <v>0.06</v>
      </c>
      <c r="R556" s="16">
        <f t="shared" si="42"/>
        <v>34.56</v>
      </c>
      <c r="S556" s="15">
        <v>0</v>
      </c>
      <c r="T556" s="15">
        <v>0</v>
      </c>
      <c r="U556" s="17">
        <f t="shared" si="43"/>
        <v>34.56</v>
      </c>
      <c r="V556" s="12" t="s">
        <v>123</v>
      </c>
      <c r="W556" s="12">
        <v>70</v>
      </c>
    </row>
    <row r="557" spans="4:23" s="12" customFormat="1" ht="30.75" customHeight="1" thickTop="1" thickBot="1" x14ac:dyDescent="0.35">
      <c r="D557" s="10"/>
      <c r="G557" s="13">
        <f t="shared" si="44"/>
        <v>556</v>
      </c>
      <c r="H557" s="18">
        <v>45831</v>
      </c>
      <c r="I557" s="15" t="s">
        <v>21</v>
      </c>
      <c r="J557" s="15">
        <v>4464</v>
      </c>
      <c r="K557" s="15">
        <v>20</v>
      </c>
      <c r="L557" s="15">
        <v>4196.16</v>
      </c>
      <c r="M557" s="16">
        <f t="shared" si="40"/>
        <v>209.80799999999999</v>
      </c>
      <c r="N557" s="15">
        <v>0</v>
      </c>
      <c r="O557" s="16">
        <f t="shared" si="41"/>
        <v>4464</v>
      </c>
      <c r="P557" s="15" t="s">
        <v>18</v>
      </c>
      <c r="Q557" s="15">
        <v>0.06</v>
      </c>
      <c r="R557" s="16">
        <f t="shared" si="42"/>
        <v>267.83999999999997</v>
      </c>
      <c r="S557" s="15">
        <v>0</v>
      </c>
      <c r="T557" s="15">
        <v>0</v>
      </c>
      <c r="U557" s="17">
        <f t="shared" si="43"/>
        <v>267.83999999999997</v>
      </c>
      <c r="V557" s="12" t="s">
        <v>123</v>
      </c>
      <c r="W557" s="12">
        <v>70</v>
      </c>
    </row>
    <row r="558" spans="4:23" s="12" customFormat="1" ht="30.75" customHeight="1" thickTop="1" thickBot="1" x14ac:dyDescent="0.35">
      <c r="D558" s="10"/>
      <c r="G558" s="13">
        <f t="shared" si="44"/>
        <v>557</v>
      </c>
      <c r="H558" s="18">
        <v>45831</v>
      </c>
      <c r="I558" s="15" t="s">
        <v>23</v>
      </c>
      <c r="J558" s="15">
        <v>54000</v>
      </c>
      <c r="K558" s="15">
        <v>300</v>
      </c>
      <c r="L558" s="15">
        <v>50760</v>
      </c>
      <c r="M558" s="16">
        <f t="shared" si="40"/>
        <v>169.2</v>
      </c>
      <c r="N558" s="15">
        <v>0</v>
      </c>
      <c r="O558" s="16">
        <f t="shared" si="41"/>
        <v>54000</v>
      </c>
      <c r="P558" s="15" t="s">
        <v>18</v>
      </c>
      <c r="Q558" s="15">
        <v>0.06</v>
      </c>
      <c r="R558" s="16">
        <f t="shared" si="42"/>
        <v>3240</v>
      </c>
      <c r="S558" s="15">
        <v>0</v>
      </c>
      <c r="T558" s="15">
        <v>0</v>
      </c>
      <c r="U558" s="17">
        <f t="shared" si="43"/>
        <v>3240</v>
      </c>
      <c r="V558" s="12" t="s">
        <v>123</v>
      </c>
      <c r="W558" s="12">
        <v>70</v>
      </c>
    </row>
    <row r="559" spans="4:23" s="12" customFormat="1" ht="30.75" customHeight="1" thickTop="1" thickBot="1" x14ac:dyDescent="0.35">
      <c r="D559" s="10"/>
      <c r="G559" s="13">
        <f t="shared" si="44"/>
        <v>558</v>
      </c>
      <c r="H559" s="18">
        <v>45831</v>
      </c>
      <c r="I559" s="15" t="s">
        <v>24</v>
      </c>
      <c r="J559" s="15">
        <v>7626</v>
      </c>
      <c r="K559" s="15">
        <v>25</v>
      </c>
      <c r="L559" s="15">
        <v>7168.44</v>
      </c>
      <c r="M559" s="16">
        <f t="shared" si="40"/>
        <v>286.73759999999999</v>
      </c>
      <c r="N559" s="15">
        <v>0</v>
      </c>
      <c r="O559" s="16">
        <f t="shared" si="41"/>
        <v>7626</v>
      </c>
      <c r="P559" s="15" t="s">
        <v>18</v>
      </c>
      <c r="Q559" s="15">
        <v>0.06</v>
      </c>
      <c r="R559" s="16">
        <f t="shared" si="42"/>
        <v>457.56</v>
      </c>
      <c r="S559" s="15">
        <v>0</v>
      </c>
      <c r="T559" s="15">
        <v>0</v>
      </c>
      <c r="U559" s="17">
        <f t="shared" si="43"/>
        <v>457.56</v>
      </c>
      <c r="V559" s="12" t="s">
        <v>123</v>
      </c>
      <c r="W559" s="12">
        <v>70</v>
      </c>
    </row>
    <row r="560" spans="4:23" s="12" customFormat="1" ht="30.75" customHeight="1" thickTop="1" thickBot="1" x14ac:dyDescent="0.35">
      <c r="D560" s="10"/>
      <c r="G560" s="13">
        <f t="shared" si="44"/>
        <v>559</v>
      </c>
      <c r="H560" s="18">
        <v>45831</v>
      </c>
      <c r="I560" s="15" t="s">
        <v>31</v>
      </c>
      <c r="J560" s="15">
        <v>7200</v>
      </c>
      <c r="K560" s="15">
        <v>40</v>
      </c>
      <c r="L560" s="15">
        <v>6768.6</v>
      </c>
      <c r="M560" s="16">
        <f t="shared" si="40"/>
        <v>169.215</v>
      </c>
      <c r="N560" s="15">
        <v>0</v>
      </c>
      <c r="O560" s="16">
        <f t="shared" si="41"/>
        <v>7200</v>
      </c>
      <c r="P560" s="15" t="s">
        <v>18</v>
      </c>
      <c r="Q560" s="15">
        <v>0.06</v>
      </c>
      <c r="R560" s="16">
        <f t="shared" si="42"/>
        <v>432</v>
      </c>
      <c r="S560" s="15">
        <v>0</v>
      </c>
      <c r="T560" s="15">
        <v>0</v>
      </c>
      <c r="U560" s="17">
        <f t="shared" si="43"/>
        <v>432</v>
      </c>
      <c r="V560" s="12" t="s">
        <v>123</v>
      </c>
      <c r="W560" s="12">
        <v>70</v>
      </c>
    </row>
    <row r="561" spans="4:23" s="12" customFormat="1" ht="30.75" customHeight="1" thickTop="1" thickBot="1" x14ac:dyDescent="0.35">
      <c r="D561" s="10"/>
      <c r="G561" s="13">
        <f t="shared" si="44"/>
        <v>560</v>
      </c>
      <c r="H561" s="18">
        <v>45831</v>
      </c>
      <c r="I561" s="15" t="s">
        <v>41</v>
      </c>
      <c r="J561" s="15">
        <v>23808</v>
      </c>
      <c r="K561" s="15">
        <v>177</v>
      </c>
      <c r="L561" s="15">
        <v>19534</v>
      </c>
      <c r="M561" s="16">
        <f t="shared" si="40"/>
        <v>110.36158192090396</v>
      </c>
      <c r="N561" s="15">
        <v>0</v>
      </c>
      <c r="O561" s="16">
        <f t="shared" si="41"/>
        <v>23808</v>
      </c>
      <c r="P561" s="15" t="s">
        <v>26</v>
      </c>
      <c r="Q561" s="15">
        <v>0.02</v>
      </c>
      <c r="R561" s="16">
        <f t="shared" si="42"/>
        <v>476.16</v>
      </c>
      <c r="S561" s="15">
        <v>0</v>
      </c>
      <c r="T561" s="15">
        <v>0</v>
      </c>
      <c r="U561" s="17">
        <f t="shared" si="43"/>
        <v>476.16</v>
      </c>
      <c r="V561" s="12" t="s">
        <v>123</v>
      </c>
      <c r="W561" s="12">
        <v>70</v>
      </c>
    </row>
    <row r="562" spans="4:23" s="12" customFormat="1" ht="30.75" customHeight="1" thickTop="1" thickBot="1" x14ac:dyDescent="0.35">
      <c r="D562" s="10"/>
      <c r="G562" s="13">
        <f t="shared" si="44"/>
        <v>561</v>
      </c>
      <c r="H562" s="18">
        <v>45833</v>
      </c>
      <c r="I562" s="15" t="s">
        <v>25</v>
      </c>
      <c r="J562" s="15">
        <v>20886.96</v>
      </c>
      <c r="K562" s="15">
        <v>87</v>
      </c>
      <c r="L562" s="15">
        <v>16548.740000000002</v>
      </c>
      <c r="M562" s="16">
        <f t="shared" si="40"/>
        <v>190.21540229885059</v>
      </c>
      <c r="N562" s="15">
        <v>0</v>
      </c>
      <c r="O562" s="16">
        <f t="shared" si="41"/>
        <v>20886.96</v>
      </c>
      <c r="P562" s="15" t="s">
        <v>26</v>
      </c>
      <c r="Q562" s="15">
        <v>0.02</v>
      </c>
      <c r="R562" s="16">
        <f t="shared" si="42"/>
        <v>417.73919999999998</v>
      </c>
      <c r="S562" s="15">
        <v>0</v>
      </c>
      <c r="T562" s="15">
        <v>0</v>
      </c>
      <c r="U562" s="17">
        <f t="shared" si="43"/>
        <v>417.73919999999998</v>
      </c>
      <c r="V562" s="12" t="s">
        <v>123</v>
      </c>
      <c r="W562" s="12">
        <v>71</v>
      </c>
    </row>
    <row r="563" spans="4:23" s="12" customFormat="1" ht="30.75" customHeight="1" thickTop="1" thickBot="1" x14ac:dyDescent="0.35">
      <c r="D563" s="10"/>
      <c r="G563" s="13">
        <f t="shared" si="44"/>
        <v>562</v>
      </c>
      <c r="H563" s="18">
        <v>45833</v>
      </c>
      <c r="I563" s="15" t="s">
        <v>30</v>
      </c>
      <c r="J563" s="15">
        <v>71280</v>
      </c>
      <c r="K563" s="15">
        <v>250</v>
      </c>
      <c r="L563" s="15">
        <v>52034.400000000001</v>
      </c>
      <c r="M563" s="16">
        <f t="shared" si="40"/>
        <v>208.13759999999999</v>
      </c>
      <c r="N563" s="15">
        <v>0</v>
      </c>
      <c r="O563" s="16">
        <f t="shared" si="41"/>
        <v>71280</v>
      </c>
      <c r="P563" s="15" t="s">
        <v>18</v>
      </c>
      <c r="Q563" s="15">
        <v>0.06</v>
      </c>
      <c r="R563" s="16">
        <f t="shared" si="42"/>
        <v>4276.8</v>
      </c>
      <c r="S563" s="15">
        <v>0</v>
      </c>
      <c r="T563" s="15">
        <v>0</v>
      </c>
      <c r="U563" s="17">
        <f t="shared" si="43"/>
        <v>4276.8</v>
      </c>
      <c r="V563" s="12" t="s">
        <v>123</v>
      </c>
      <c r="W563" s="12">
        <v>71</v>
      </c>
    </row>
    <row r="564" spans="4:23" s="12" customFormat="1" ht="30.75" customHeight="1" thickTop="1" thickBot="1" x14ac:dyDescent="0.35">
      <c r="D564" s="10"/>
      <c r="G564" s="13">
        <f t="shared" si="44"/>
        <v>563</v>
      </c>
      <c r="H564" s="18">
        <v>45833</v>
      </c>
      <c r="I564" s="15" t="s">
        <v>17</v>
      </c>
      <c r="J564" s="15">
        <v>142560</v>
      </c>
      <c r="K564" s="15">
        <v>500</v>
      </c>
      <c r="L564" s="15">
        <v>104068.8</v>
      </c>
      <c r="M564" s="16">
        <f t="shared" si="40"/>
        <v>208.13759999999999</v>
      </c>
      <c r="N564" s="15">
        <v>0</v>
      </c>
      <c r="O564" s="16">
        <f t="shared" si="41"/>
        <v>142560</v>
      </c>
      <c r="P564" s="15" t="s">
        <v>18</v>
      </c>
      <c r="Q564" s="15">
        <v>0.06</v>
      </c>
      <c r="R564" s="16">
        <f t="shared" si="42"/>
        <v>8553.6</v>
      </c>
      <c r="S564" s="15">
        <v>0</v>
      </c>
      <c r="T564" s="15">
        <v>0</v>
      </c>
      <c r="U564" s="17">
        <f t="shared" si="43"/>
        <v>8553.6</v>
      </c>
      <c r="V564" s="12" t="s">
        <v>123</v>
      </c>
      <c r="W564" s="12">
        <v>71</v>
      </c>
    </row>
    <row r="565" spans="4:23" s="12" customFormat="1" ht="30.75" customHeight="1" thickTop="1" thickBot="1" x14ac:dyDescent="0.35">
      <c r="D565" s="10"/>
      <c r="G565" s="13">
        <f t="shared" si="44"/>
        <v>564</v>
      </c>
      <c r="H565" s="18">
        <v>45833</v>
      </c>
      <c r="I565" s="36" t="s">
        <v>20</v>
      </c>
      <c r="J565" s="15">
        <v>864</v>
      </c>
      <c r="K565" s="15">
        <v>3</v>
      </c>
      <c r="L565" s="15">
        <v>812.16</v>
      </c>
      <c r="M565" s="16">
        <f t="shared" si="40"/>
        <v>270.71999999999997</v>
      </c>
      <c r="N565" s="15">
        <v>0</v>
      </c>
      <c r="O565" s="16">
        <f t="shared" si="41"/>
        <v>864</v>
      </c>
      <c r="P565" s="15" t="s">
        <v>18</v>
      </c>
      <c r="Q565" s="15">
        <v>0.06</v>
      </c>
      <c r="R565" s="16">
        <f t="shared" si="42"/>
        <v>51.839999999999996</v>
      </c>
      <c r="S565" s="15">
        <v>-5007</v>
      </c>
      <c r="T565" s="15">
        <v>0</v>
      </c>
      <c r="U565" s="17">
        <f t="shared" si="43"/>
        <v>-4955.16</v>
      </c>
      <c r="V565" s="12" t="s">
        <v>123</v>
      </c>
      <c r="W565" s="12">
        <v>71</v>
      </c>
    </row>
    <row r="566" spans="4:23" s="12" customFormat="1" ht="30.75" customHeight="1" thickTop="1" thickBot="1" x14ac:dyDescent="0.35">
      <c r="D566" s="10"/>
      <c r="G566" s="13">
        <f t="shared" si="44"/>
        <v>565</v>
      </c>
      <c r="H566" s="18">
        <v>45833</v>
      </c>
      <c r="I566" s="15" t="s">
        <v>23</v>
      </c>
      <c r="J566" s="15">
        <v>36000</v>
      </c>
      <c r="K566" s="15">
        <v>200</v>
      </c>
      <c r="L566" s="15">
        <v>33840</v>
      </c>
      <c r="M566" s="16">
        <f t="shared" si="40"/>
        <v>169.2</v>
      </c>
      <c r="N566" s="15">
        <v>0</v>
      </c>
      <c r="O566" s="16">
        <f t="shared" si="41"/>
        <v>36000</v>
      </c>
      <c r="P566" s="15" t="s">
        <v>18</v>
      </c>
      <c r="Q566" s="15">
        <v>0.06</v>
      </c>
      <c r="R566" s="16">
        <f t="shared" si="42"/>
        <v>2160</v>
      </c>
      <c r="S566" s="15">
        <v>13200</v>
      </c>
      <c r="T566" s="15">
        <v>0</v>
      </c>
      <c r="U566" s="17">
        <f t="shared" si="43"/>
        <v>15360</v>
      </c>
      <c r="V566" s="12" t="s">
        <v>123</v>
      </c>
      <c r="W566" s="12">
        <v>71</v>
      </c>
    </row>
    <row r="567" spans="4:23" s="12" customFormat="1" ht="30.75" customHeight="1" thickTop="1" thickBot="1" x14ac:dyDescent="0.35">
      <c r="D567" s="10"/>
      <c r="G567" s="13">
        <f t="shared" si="44"/>
        <v>566</v>
      </c>
      <c r="H567" s="18">
        <v>45833</v>
      </c>
      <c r="I567" s="15" t="s">
        <v>24</v>
      </c>
      <c r="J567" s="15">
        <v>6100.8</v>
      </c>
      <c r="K567" s="15">
        <v>20</v>
      </c>
      <c r="L567" s="15">
        <v>5734.75</v>
      </c>
      <c r="M567" s="16">
        <f t="shared" si="40"/>
        <v>286.73750000000001</v>
      </c>
      <c r="N567" s="15">
        <v>0</v>
      </c>
      <c r="O567" s="16">
        <f t="shared" si="41"/>
        <v>6100.8</v>
      </c>
      <c r="P567" s="15" t="s">
        <v>18</v>
      </c>
      <c r="Q567" s="15">
        <v>0.06</v>
      </c>
      <c r="R567" s="16">
        <f t="shared" si="42"/>
        <v>366.048</v>
      </c>
      <c r="S567" s="15">
        <v>0</v>
      </c>
      <c r="T567" s="15">
        <v>0</v>
      </c>
      <c r="U567" s="17">
        <f t="shared" si="43"/>
        <v>366.048</v>
      </c>
      <c r="V567" s="12" t="s">
        <v>123</v>
      </c>
      <c r="W567" s="12">
        <v>71</v>
      </c>
    </row>
    <row r="568" spans="4:23" s="10" customFormat="1" ht="30.75" customHeight="1" thickTop="1" thickBot="1" x14ac:dyDescent="0.35">
      <c r="G568" s="25">
        <f t="shared" si="44"/>
        <v>567</v>
      </c>
      <c r="H568" s="26">
        <v>45833</v>
      </c>
      <c r="I568" s="16" t="s">
        <v>31</v>
      </c>
      <c r="J568" s="16">
        <v>6300</v>
      </c>
      <c r="K568" s="16">
        <v>35</v>
      </c>
      <c r="L568" s="16">
        <v>5922</v>
      </c>
      <c r="M568" s="16">
        <f t="shared" si="40"/>
        <v>169.2</v>
      </c>
      <c r="N568" s="15">
        <v>0</v>
      </c>
      <c r="O568" s="16">
        <f t="shared" si="41"/>
        <v>6300</v>
      </c>
      <c r="P568" s="16" t="s">
        <v>18</v>
      </c>
      <c r="Q568" s="16">
        <v>0.06</v>
      </c>
      <c r="R568" s="16">
        <f t="shared" si="42"/>
        <v>378</v>
      </c>
      <c r="S568" s="15">
        <v>0</v>
      </c>
      <c r="T568" s="15">
        <v>0</v>
      </c>
      <c r="U568" s="17">
        <f t="shared" si="43"/>
        <v>378</v>
      </c>
      <c r="V568" s="12" t="s">
        <v>123</v>
      </c>
      <c r="W568" s="12">
        <v>71</v>
      </c>
    </row>
    <row r="569" spans="4:23" s="12" customFormat="1" ht="30.75" customHeight="1" thickTop="1" thickBot="1" x14ac:dyDescent="0.35">
      <c r="D569" s="10"/>
      <c r="G569" s="13">
        <f t="shared" si="44"/>
        <v>568</v>
      </c>
      <c r="H569" s="18">
        <v>45836</v>
      </c>
      <c r="I569" s="15" t="s">
        <v>25</v>
      </c>
      <c r="J569" s="15">
        <v>50884.24</v>
      </c>
      <c r="K569" s="15">
        <v>212</v>
      </c>
      <c r="L569" s="15">
        <v>40315.58</v>
      </c>
      <c r="M569" s="16">
        <f t="shared" si="40"/>
        <v>190.16783018867926</v>
      </c>
      <c r="N569" s="15">
        <v>0</v>
      </c>
      <c r="O569" s="16">
        <f t="shared" si="41"/>
        <v>50884.24</v>
      </c>
      <c r="P569" s="15" t="s">
        <v>26</v>
      </c>
      <c r="Q569" s="15">
        <v>0.02</v>
      </c>
      <c r="R569" s="16">
        <f t="shared" si="42"/>
        <v>1017.6848</v>
      </c>
      <c r="S569" s="15">
        <v>0</v>
      </c>
      <c r="T569" s="15">
        <v>0</v>
      </c>
      <c r="U569" s="17">
        <f t="shared" si="43"/>
        <v>1017.6848</v>
      </c>
      <c r="V569" s="12" t="s">
        <v>53</v>
      </c>
      <c r="W569" s="12">
        <v>72</v>
      </c>
    </row>
    <row r="570" spans="4:23" s="12" customFormat="1" ht="30.75" customHeight="1" thickTop="1" thickBot="1" x14ac:dyDescent="0.35">
      <c r="D570" s="10"/>
      <c r="G570" s="13">
        <f t="shared" si="44"/>
        <v>569</v>
      </c>
      <c r="H570" s="18">
        <v>45836</v>
      </c>
      <c r="I570" s="15" t="s">
        <v>41</v>
      </c>
      <c r="J570" s="15">
        <v>26901.599999999999</v>
      </c>
      <c r="K570" s="15">
        <v>200</v>
      </c>
      <c r="L570" s="15">
        <v>22072.76</v>
      </c>
      <c r="M570" s="16">
        <f t="shared" si="40"/>
        <v>110.3638</v>
      </c>
      <c r="N570" s="15">
        <v>0</v>
      </c>
      <c r="O570" s="16">
        <f t="shared" si="41"/>
        <v>26901.599999999999</v>
      </c>
      <c r="P570" s="15" t="s">
        <v>26</v>
      </c>
      <c r="Q570" s="15">
        <v>0.02</v>
      </c>
      <c r="R570" s="16">
        <f t="shared" si="42"/>
        <v>538.03199999999993</v>
      </c>
      <c r="S570" s="15">
        <v>0</v>
      </c>
      <c r="T570" s="15">
        <v>0</v>
      </c>
      <c r="U570" s="17">
        <f t="shared" si="43"/>
        <v>538.03199999999993</v>
      </c>
      <c r="V570" s="12" t="s">
        <v>53</v>
      </c>
      <c r="W570" s="12">
        <v>72</v>
      </c>
    </row>
    <row r="571" spans="4:23" s="12" customFormat="1" ht="30.75" customHeight="1" thickTop="1" thickBot="1" x14ac:dyDescent="0.35">
      <c r="D571" s="10"/>
      <c r="G571" s="13">
        <f t="shared" si="44"/>
        <v>570</v>
      </c>
      <c r="H571" s="18">
        <v>45836</v>
      </c>
      <c r="I571" s="15" t="s">
        <v>30</v>
      </c>
      <c r="J571" s="15">
        <v>35640</v>
      </c>
      <c r="K571" s="15">
        <v>125</v>
      </c>
      <c r="L571" s="15">
        <v>26017.200000000001</v>
      </c>
      <c r="M571" s="16">
        <f t="shared" si="40"/>
        <v>208.13759999999999</v>
      </c>
      <c r="N571" s="15">
        <v>0</v>
      </c>
      <c r="O571" s="16">
        <f t="shared" si="41"/>
        <v>35640</v>
      </c>
      <c r="P571" s="15" t="s">
        <v>18</v>
      </c>
      <c r="Q571" s="15">
        <v>0.06</v>
      </c>
      <c r="R571" s="16">
        <f t="shared" si="42"/>
        <v>2138.4</v>
      </c>
      <c r="S571" s="15">
        <v>0</v>
      </c>
      <c r="T571" s="15">
        <v>0</v>
      </c>
      <c r="U571" s="17">
        <f t="shared" si="43"/>
        <v>2138.4</v>
      </c>
      <c r="V571" s="12" t="s">
        <v>53</v>
      </c>
      <c r="W571" s="12">
        <v>72</v>
      </c>
    </row>
    <row r="572" spans="4:23" s="12" customFormat="1" ht="30.75" customHeight="1" thickTop="1" thickBot="1" x14ac:dyDescent="0.35">
      <c r="D572" s="10"/>
      <c r="G572" s="13">
        <f t="shared" si="44"/>
        <v>571</v>
      </c>
      <c r="H572" s="18">
        <v>45836</v>
      </c>
      <c r="I572" s="15" t="s">
        <v>17</v>
      </c>
      <c r="J572" s="15">
        <v>35640</v>
      </c>
      <c r="K572" s="15">
        <v>125</v>
      </c>
      <c r="L572" s="15">
        <v>26017.200000000001</v>
      </c>
      <c r="M572" s="16">
        <f t="shared" si="40"/>
        <v>208.13759999999999</v>
      </c>
      <c r="N572" s="15">
        <v>0</v>
      </c>
      <c r="O572" s="16">
        <f t="shared" si="41"/>
        <v>35640</v>
      </c>
      <c r="P572" s="15" t="s">
        <v>18</v>
      </c>
      <c r="Q572" s="15">
        <v>0.06</v>
      </c>
      <c r="R572" s="16">
        <f t="shared" si="42"/>
        <v>2138.4</v>
      </c>
      <c r="S572" s="15">
        <v>0</v>
      </c>
      <c r="T572" s="15">
        <v>0</v>
      </c>
      <c r="U572" s="17">
        <f t="shared" si="43"/>
        <v>2138.4</v>
      </c>
      <c r="V572" s="12" t="s">
        <v>53</v>
      </c>
      <c r="W572" s="12">
        <v>72</v>
      </c>
    </row>
    <row r="573" spans="4:23" s="12" customFormat="1" ht="30.75" customHeight="1" thickTop="1" thickBot="1" x14ac:dyDescent="0.35">
      <c r="D573" s="10"/>
      <c r="G573" s="13">
        <f t="shared" si="44"/>
        <v>572</v>
      </c>
      <c r="H573" s="18">
        <v>45836</v>
      </c>
      <c r="I573" s="15" t="s">
        <v>35</v>
      </c>
      <c r="J573" s="15">
        <v>8760</v>
      </c>
      <c r="K573" s="15">
        <v>50</v>
      </c>
      <c r="L573" s="15">
        <v>8234.4</v>
      </c>
      <c r="M573" s="16">
        <f t="shared" si="40"/>
        <v>164.68799999999999</v>
      </c>
      <c r="N573" s="15">
        <v>0</v>
      </c>
      <c r="O573" s="16">
        <f t="shared" si="41"/>
        <v>8760</v>
      </c>
      <c r="P573" s="15" t="s">
        <v>18</v>
      </c>
      <c r="Q573" s="15">
        <v>0.06</v>
      </c>
      <c r="R573" s="16">
        <f t="shared" si="42"/>
        <v>525.6</v>
      </c>
      <c r="S573" s="15">
        <v>0</v>
      </c>
      <c r="T573" s="15">
        <v>0</v>
      </c>
      <c r="U573" s="17">
        <f t="shared" si="43"/>
        <v>525.6</v>
      </c>
      <c r="V573" s="12" t="s">
        <v>53</v>
      </c>
      <c r="W573" s="12">
        <v>72</v>
      </c>
    </row>
    <row r="574" spans="4:23" s="12" customFormat="1" ht="30.75" customHeight="1" thickTop="1" thickBot="1" x14ac:dyDescent="0.35">
      <c r="D574" s="10"/>
      <c r="G574" s="13">
        <f t="shared" si="44"/>
        <v>573</v>
      </c>
      <c r="H574" s="18">
        <v>45836</v>
      </c>
      <c r="I574" s="36" t="s">
        <v>20</v>
      </c>
      <c r="J574" s="15">
        <v>624</v>
      </c>
      <c r="K574" s="15">
        <v>586.6</v>
      </c>
      <c r="L574" s="15">
        <v>586.86</v>
      </c>
      <c r="M574" s="16">
        <f t="shared" si="40"/>
        <v>1.0004432321854757</v>
      </c>
      <c r="N574" s="15">
        <v>0</v>
      </c>
      <c r="O574" s="16">
        <f t="shared" si="41"/>
        <v>624</v>
      </c>
      <c r="P574" s="15" t="s">
        <v>18</v>
      </c>
      <c r="Q574" s="15">
        <v>0.06</v>
      </c>
      <c r="R574" s="16">
        <f t="shared" si="42"/>
        <v>37.44</v>
      </c>
      <c r="S574" s="15">
        <v>0</v>
      </c>
      <c r="T574" s="15">
        <v>0</v>
      </c>
      <c r="U574" s="17">
        <f t="shared" si="43"/>
        <v>37.44</v>
      </c>
      <c r="V574" s="12" t="s">
        <v>53</v>
      </c>
      <c r="W574" s="12">
        <v>72</v>
      </c>
    </row>
    <row r="575" spans="4:23" s="12" customFormat="1" ht="30.75" customHeight="1" thickTop="1" thickBot="1" x14ac:dyDescent="0.35">
      <c r="D575" s="10"/>
      <c r="G575" s="13">
        <f t="shared" si="44"/>
        <v>574</v>
      </c>
      <c r="H575" s="18">
        <v>45836</v>
      </c>
      <c r="I575" s="15" t="s">
        <v>21</v>
      </c>
      <c r="J575" s="15">
        <v>2472</v>
      </c>
      <c r="K575" s="15">
        <v>10</v>
      </c>
      <c r="L575" s="15">
        <v>2323.6799999999998</v>
      </c>
      <c r="M575" s="16">
        <f t="shared" si="40"/>
        <v>232.36799999999999</v>
      </c>
      <c r="N575" s="15">
        <v>0</v>
      </c>
      <c r="O575" s="16">
        <f t="shared" si="41"/>
        <v>2472</v>
      </c>
      <c r="P575" s="15" t="s">
        <v>18</v>
      </c>
      <c r="Q575" s="15">
        <v>0.06</v>
      </c>
      <c r="R575" s="16">
        <f t="shared" si="42"/>
        <v>148.32</v>
      </c>
      <c r="S575" s="15">
        <v>0</v>
      </c>
      <c r="T575" s="15">
        <v>0</v>
      </c>
      <c r="U575" s="17">
        <f t="shared" si="43"/>
        <v>148.32</v>
      </c>
      <c r="V575" s="12" t="s">
        <v>53</v>
      </c>
      <c r="W575" s="12">
        <v>72</v>
      </c>
    </row>
    <row r="576" spans="4:23" s="12" customFormat="1" ht="30.75" customHeight="1" thickTop="1" thickBot="1" x14ac:dyDescent="0.35">
      <c r="D576" s="10"/>
      <c r="G576" s="13">
        <f t="shared" si="44"/>
        <v>575</v>
      </c>
      <c r="H576" s="18">
        <v>45836</v>
      </c>
      <c r="I576" s="15" t="s">
        <v>22</v>
      </c>
      <c r="J576" s="15">
        <v>2692.5</v>
      </c>
      <c r="K576" s="15">
        <v>10</v>
      </c>
      <c r="L576" s="15">
        <v>2530.9499999999998</v>
      </c>
      <c r="M576" s="16">
        <f t="shared" si="40"/>
        <v>253.09499999999997</v>
      </c>
      <c r="N576" s="15">
        <v>0</v>
      </c>
      <c r="O576" s="16">
        <f t="shared" si="41"/>
        <v>2692.5</v>
      </c>
      <c r="P576" s="15" t="s">
        <v>18</v>
      </c>
      <c r="Q576" s="15">
        <v>0.06</v>
      </c>
      <c r="R576" s="16">
        <f t="shared" si="42"/>
        <v>161.54999999999998</v>
      </c>
      <c r="S576" s="15">
        <v>0</v>
      </c>
      <c r="T576" s="15">
        <v>0</v>
      </c>
      <c r="U576" s="17">
        <f t="shared" si="43"/>
        <v>161.54999999999998</v>
      </c>
      <c r="V576" s="12" t="s">
        <v>53</v>
      </c>
      <c r="W576" s="12">
        <v>72</v>
      </c>
    </row>
    <row r="577" spans="4:23" s="12" customFormat="1" ht="30.75" customHeight="1" thickTop="1" thickBot="1" x14ac:dyDescent="0.35">
      <c r="D577" s="10"/>
      <c r="G577" s="13">
        <f t="shared" si="44"/>
        <v>576</v>
      </c>
      <c r="H577" s="18">
        <v>45836</v>
      </c>
      <c r="I577" s="15" t="s">
        <v>23</v>
      </c>
      <c r="J577" s="15">
        <v>48000</v>
      </c>
      <c r="K577" s="15">
        <v>250</v>
      </c>
      <c r="L577" s="15">
        <v>45120</v>
      </c>
      <c r="M577" s="16">
        <f t="shared" si="40"/>
        <v>180.48</v>
      </c>
      <c r="N577" s="15">
        <v>0</v>
      </c>
      <c r="O577" s="16">
        <f t="shared" si="41"/>
        <v>48000</v>
      </c>
      <c r="P577" s="15" t="s">
        <v>18</v>
      </c>
      <c r="Q577" s="15">
        <v>0.06</v>
      </c>
      <c r="R577" s="16">
        <f t="shared" si="42"/>
        <v>2880</v>
      </c>
      <c r="S577" s="15">
        <v>0</v>
      </c>
      <c r="T577" s="15">
        <v>0</v>
      </c>
      <c r="U577" s="17">
        <f t="shared" si="43"/>
        <v>2880</v>
      </c>
      <c r="V577" s="12" t="s">
        <v>53</v>
      </c>
      <c r="W577" s="12">
        <v>72</v>
      </c>
    </row>
    <row r="578" spans="4:23" s="12" customFormat="1" ht="30.75" customHeight="1" thickTop="1" thickBot="1" x14ac:dyDescent="0.35">
      <c r="D578" s="10"/>
      <c r="G578" s="13">
        <f t="shared" si="44"/>
        <v>577</v>
      </c>
      <c r="H578" s="18">
        <v>45836</v>
      </c>
      <c r="I578" s="15" t="s">
        <v>24</v>
      </c>
      <c r="J578" s="15">
        <v>8226</v>
      </c>
      <c r="K578" s="15">
        <v>25</v>
      </c>
      <c r="L578" s="15">
        <v>7732.44</v>
      </c>
      <c r="M578" s="16">
        <f t="shared" ref="M578:M641" si="45">IFERROR(L578/K578,"")</f>
        <v>309.29759999999999</v>
      </c>
      <c r="N578" s="15">
        <v>0</v>
      </c>
      <c r="O578" s="16">
        <f t="shared" ref="O578:O641" si="46">J578-N578</f>
        <v>8226</v>
      </c>
      <c r="P578" s="15" t="s">
        <v>18</v>
      </c>
      <c r="Q578" s="15">
        <v>0.06</v>
      </c>
      <c r="R578" s="16">
        <f t="shared" ref="R578:R641" si="47">J578*Q578</f>
        <v>493.56</v>
      </c>
      <c r="S578" s="15">
        <v>0</v>
      </c>
      <c r="T578" s="15">
        <v>0</v>
      </c>
      <c r="U578" s="17">
        <f t="shared" ref="U578:U641" si="48">T578+S578+R578</f>
        <v>493.56</v>
      </c>
      <c r="V578" s="12" t="s">
        <v>53</v>
      </c>
      <c r="W578" s="12">
        <v>72</v>
      </c>
    </row>
    <row r="579" spans="4:23" s="12" customFormat="1" ht="30.75" customHeight="1" thickTop="1" thickBot="1" x14ac:dyDescent="0.35">
      <c r="D579" s="10"/>
      <c r="G579" s="13">
        <f t="shared" si="44"/>
        <v>578</v>
      </c>
      <c r="H579" s="18">
        <v>45836</v>
      </c>
      <c r="I579" s="15" t="s">
        <v>31</v>
      </c>
      <c r="J579" s="15">
        <v>5760</v>
      </c>
      <c r="K579" s="15">
        <v>30</v>
      </c>
      <c r="L579" s="15">
        <v>5414.4</v>
      </c>
      <c r="M579" s="16">
        <f t="shared" si="45"/>
        <v>180.48</v>
      </c>
      <c r="N579" s="15">
        <v>0</v>
      </c>
      <c r="O579" s="16">
        <f t="shared" si="46"/>
        <v>5760</v>
      </c>
      <c r="P579" s="15" t="s">
        <v>18</v>
      </c>
      <c r="Q579" s="15">
        <v>0.06</v>
      </c>
      <c r="R579" s="16">
        <f t="shared" si="47"/>
        <v>345.59999999999997</v>
      </c>
      <c r="S579" s="15">
        <v>0</v>
      </c>
      <c r="T579" s="15">
        <v>0</v>
      </c>
      <c r="U579" s="17">
        <f t="shared" si="48"/>
        <v>345.59999999999997</v>
      </c>
      <c r="V579" s="12" t="s">
        <v>53</v>
      </c>
      <c r="W579" s="12">
        <v>72</v>
      </c>
    </row>
    <row r="580" spans="4:23" s="12" customFormat="1" ht="30.75" customHeight="1" thickTop="1" thickBot="1" x14ac:dyDescent="0.35">
      <c r="D580" s="10"/>
      <c r="G580" s="13">
        <f t="shared" ref="G580:G643" si="49">G579+1</f>
        <v>579</v>
      </c>
      <c r="H580" s="18">
        <v>45836</v>
      </c>
      <c r="I580" s="15" t="s">
        <v>37</v>
      </c>
      <c r="J580" s="15">
        <v>52515</v>
      </c>
      <c r="K580" s="15">
        <v>100</v>
      </c>
      <c r="L580" s="15">
        <v>51202.13</v>
      </c>
      <c r="M580" s="16">
        <f t="shared" si="45"/>
        <v>512.0213</v>
      </c>
      <c r="N580" s="15">
        <v>0</v>
      </c>
      <c r="O580" s="16">
        <f t="shared" si="46"/>
        <v>52515</v>
      </c>
      <c r="P580" s="15" t="s">
        <v>29</v>
      </c>
      <c r="Q580" s="15">
        <v>0.02</v>
      </c>
      <c r="R580" s="16">
        <f t="shared" si="47"/>
        <v>1050.3</v>
      </c>
      <c r="S580" s="15">
        <v>0</v>
      </c>
      <c r="T580" s="15">
        <v>0</v>
      </c>
      <c r="U580" s="17">
        <f t="shared" si="48"/>
        <v>1050.3</v>
      </c>
      <c r="V580" s="12" t="s">
        <v>53</v>
      </c>
      <c r="W580" s="12">
        <v>72</v>
      </c>
    </row>
    <row r="581" spans="4:23" s="12" customFormat="1" ht="30.75" customHeight="1" thickTop="1" thickBot="1" x14ac:dyDescent="0.35">
      <c r="D581" s="10"/>
      <c r="G581" s="13">
        <f t="shared" si="49"/>
        <v>580</v>
      </c>
      <c r="H581" s="18">
        <v>45836</v>
      </c>
      <c r="I581" s="15" t="s">
        <v>28</v>
      </c>
      <c r="J581" s="15">
        <v>78772.5</v>
      </c>
      <c r="K581" s="15">
        <v>150</v>
      </c>
      <c r="L581" s="15">
        <v>76803.19</v>
      </c>
      <c r="M581" s="16">
        <f t="shared" si="45"/>
        <v>512.02126666666663</v>
      </c>
      <c r="N581" s="15">
        <v>0</v>
      </c>
      <c r="O581" s="16">
        <f t="shared" si="46"/>
        <v>78772.5</v>
      </c>
      <c r="P581" s="15" t="s">
        <v>29</v>
      </c>
      <c r="Q581" s="15">
        <v>0.02</v>
      </c>
      <c r="R581" s="16">
        <f t="shared" si="47"/>
        <v>1575.45</v>
      </c>
      <c r="S581" s="15">
        <v>0</v>
      </c>
      <c r="T581" s="15">
        <v>0</v>
      </c>
      <c r="U581" s="17">
        <f t="shared" si="48"/>
        <v>1575.45</v>
      </c>
      <c r="V581" s="12" t="s">
        <v>53</v>
      </c>
      <c r="W581" s="12">
        <v>72</v>
      </c>
    </row>
    <row r="582" spans="4:23" s="12" customFormat="1" ht="30.75" customHeight="1" thickTop="1" thickBot="1" x14ac:dyDescent="0.35">
      <c r="D582" s="10"/>
      <c r="G582" s="13">
        <f t="shared" si="49"/>
        <v>581</v>
      </c>
      <c r="H582" s="18">
        <v>45837</v>
      </c>
      <c r="I582" s="15" t="s">
        <v>41</v>
      </c>
      <c r="J582" s="15">
        <v>13450.8</v>
      </c>
      <c r="K582" s="15">
        <v>100</v>
      </c>
      <c r="L582" s="15">
        <v>11036.38</v>
      </c>
      <c r="M582" s="16">
        <f t="shared" si="45"/>
        <v>110.3638</v>
      </c>
      <c r="N582" s="15">
        <v>0</v>
      </c>
      <c r="O582" s="16">
        <f t="shared" si="46"/>
        <v>13450.8</v>
      </c>
      <c r="P582" s="15" t="s">
        <v>26</v>
      </c>
      <c r="Q582" s="15">
        <v>0.02</v>
      </c>
      <c r="R582" s="16">
        <f t="shared" si="47"/>
        <v>269.01599999999996</v>
      </c>
      <c r="S582" s="15">
        <v>0</v>
      </c>
      <c r="T582" s="15">
        <v>0</v>
      </c>
      <c r="U582" s="17">
        <f t="shared" si="48"/>
        <v>269.01599999999996</v>
      </c>
      <c r="V582" s="12" t="s">
        <v>53</v>
      </c>
      <c r="W582" s="12">
        <v>73</v>
      </c>
    </row>
    <row r="583" spans="4:23" s="12" customFormat="1" ht="30.75" customHeight="1" thickTop="1" thickBot="1" x14ac:dyDescent="0.35">
      <c r="D583" s="10"/>
      <c r="G583" s="13">
        <f t="shared" si="49"/>
        <v>582</v>
      </c>
      <c r="H583" s="18">
        <v>45837</v>
      </c>
      <c r="I583" s="15" t="s">
        <v>30</v>
      </c>
      <c r="J583" s="15">
        <v>76800</v>
      </c>
      <c r="K583" s="15">
        <v>250</v>
      </c>
      <c r="L583" s="15">
        <v>57907.199999999997</v>
      </c>
      <c r="M583" s="16">
        <f t="shared" si="45"/>
        <v>231.62879999999998</v>
      </c>
      <c r="N583" s="15">
        <v>0</v>
      </c>
      <c r="O583" s="16">
        <f t="shared" si="46"/>
        <v>76800</v>
      </c>
      <c r="P583" s="15" t="s">
        <v>18</v>
      </c>
      <c r="Q583" s="15">
        <v>0.06</v>
      </c>
      <c r="R583" s="16">
        <f t="shared" si="47"/>
        <v>4608</v>
      </c>
      <c r="S583" s="15">
        <v>0</v>
      </c>
      <c r="T583" s="15">
        <v>0</v>
      </c>
      <c r="U583" s="17">
        <f t="shared" si="48"/>
        <v>4608</v>
      </c>
      <c r="V583" s="12" t="s">
        <v>53</v>
      </c>
      <c r="W583" s="12">
        <v>73</v>
      </c>
    </row>
    <row r="584" spans="4:23" s="12" customFormat="1" ht="30.75" customHeight="1" thickTop="1" thickBot="1" x14ac:dyDescent="0.35">
      <c r="D584" s="10"/>
      <c r="G584" s="13">
        <f t="shared" si="49"/>
        <v>583</v>
      </c>
      <c r="H584" s="18">
        <v>45837</v>
      </c>
      <c r="I584" s="15" t="s">
        <v>17</v>
      </c>
      <c r="J584" s="15">
        <v>46080</v>
      </c>
      <c r="K584" s="15">
        <v>150</v>
      </c>
      <c r="L584" s="15">
        <v>34744.32</v>
      </c>
      <c r="M584" s="16">
        <f t="shared" si="45"/>
        <v>231.62879999999998</v>
      </c>
      <c r="N584" s="15">
        <v>0</v>
      </c>
      <c r="O584" s="16">
        <f t="shared" si="46"/>
        <v>46080</v>
      </c>
      <c r="P584" s="15" t="s">
        <v>18</v>
      </c>
      <c r="Q584" s="15">
        <v>0.06</v>
      </c>
      <c r="R584" s="16">
        <f t="shared" si="47"/>
        <v>2764.7999999999997</v>
      </c>
      <c r="S584" s="15">
        <v>0</v>
      </c>
      <c r="T584" s="15">
        <v>0</v>
      </c>
      <c r="U584" s="17">
        <f t="shared" si="48"/>
        <v>2764.7999999999997</v>
      </c>
      <c r="V584" s="12" t="s">
        <v>53</v>
      </c>
      <c r="W584" s="12">
        <v>73</v>
      </c>
    </row>
    <row r="585" spans="4:23" s="12" customFormat="1" ht="30.75" customHeight="1" thickTop="1" thickBot="1" x14ac:dyDescent="0.35">
      <c r="D585" s="10"/>
      <c r="G585" s="13">
        <f t="shared" si="49"/>
        <v>584</v>
      </c>
      <c r="H585" s="18">
        <v>45837</v>
      </c>
      <c r="I585" s="36" t="s">
        <v>20</v>
      </c>
      <c r="J585" s="15">
        <v>864</v>
      </c>
      <c r="K585" s="15">
        <v>3</v>
      </c>
      <c r="L585" s="15">
        <v>812.16</v>
      </c>
      <c r="M585" s="16">
        <f t="shared" si="45"/>
        <v>270.71999999999997</v>
      </c>
      <c r="N585" s="15">
        <v>0</v>
      </c>
      <c r="O585" s="16">
        <f t="shared" si="46"/>
        <v>864</v>
      </c>
      <c r="P585" s="15" t="s">
        <v>18</v>
      </c>
      <c r="Q585" s="15">
        <v>0.06</v>
      </c>
      <c r="R585" s="16">
        <f t="shared" si="47"/>
        <v>51.839999999999996</v>
      </c>
      <c r="S585" s="15">
        <v>0</v>
      </c>
      <c r="T585" s="15">
        <v>0</v>
      </c>
      <c r="U585" s="17">
        <f t="shared" si="48"/>
        <v>51.839999999999996</v>
      </c>
      <c r="V585" s="12" t="s">
        <v>53</v>
      </c>
      <c r="W585" s="12">
        <v>73</v>
      </c>
    </row>
    <row r="586" spans="4:23" s="12" customFormat="1" ht="30.75" customHeight="1" thickTop="1" thickBot="1" x14ac:dyDescent="0.35">
      <c r="D586" s="10"/>
      <c r="G586" s="13">
        <f t="shared" si="49"/>
        <v>585</v>
      </c>
      <c r="H586" s="18">
        <v>45837</v>
      </c>
      <c r="I586" s="15" t="s">
        <v>23</v>
      </c>
      <c r="J586" s="15">
        <v>19200</v>
      </c>
      <c r="K586" s="15">
        <v>100</v>
      </c>
      <c r="L586" s="15">
        <v>18048</v>
      </c>
      <c r="M586" s="16">
        <f t="shared" si="45"/>
        <v>180.48</v>
      </c>
      <c r="N586" s="15">
        <v>0</v>
      </c>
      <c r="O586" s="16">
        <f t="shared" si="46"/>
        <v>19200</v>
      </c>
      <c r="P586" s="15" t="s">
        <v>18</v>
      </c>
      <c r="Q586" s="15">
        <v>0.06</v>
      </c>
      <c r="R586" s="16">
        <f t="shared" si="47"/>
        <v>1152</v>
      </c>
      <c r="S586" s="15">
        <v>0</v>
      </c>
      <c r="T586" s="15">
        <v>0</v>
      </c>
      <c r="U586" s="17">
        <f t="shared" si="48"/>
        <v>1152</v>
      </c>
      <c r="V586" s="12" t="s">
        <v>53</v>
      </c>
      <c r="W586" s="12">
        <v>73</v>
      </c>
    </row>
    <row r="587" spans="4:23" s="12" customFormat="1" ht="30.75" customHeight="1" thickTop="1" thickBot="1" x14ac:dyDescent="0.35">
      <c r="D587" s="10"/>
      <c r="G587" s="13">
        <f t="shared" si="49"/>
        <v>586</v>
      </c>
      <c r="H587" s="18">
        <v>45837</v>
      </c>
      <c r="I587" s="15" t="s">
        <v>24</v>
      </c>
      <c r="J587" s="15">
        <v>6580.8</v>
      </c>
      <c r="K587" s="15">
        <v>20</v>
      </c>
      <c r="L587" s="15">
        <v>6185.95</v>
      </c>
      <c r="M587" s="16">
        <f t="shared" si="45"/>
        <v>309.29750000000001</v>
      </c>
      <c r="N587" s="15">
        <v>0</v>
      </c>
      <c r="O587" s="16">
        <f t="shared" si="46"/>
        <v>6580.8</v>
      </c>
      <c r="P587" s="15" t="s">
        <v>18</v>
      </c>
      <c r="Q587" s="15">
        <v>0.06</v>
      </c>
      <c r="R587" s="16">
        <f t="shared" si="47"/>
        <v>394.84800000000001</v>
      </c>
      <c r="S587" s="15">
        <v>0</v>
      </c>
      <c r="T587" s="15">
        <v>0</v>
      </c>
      <c r="U587" s="17">
        <f t="shared" si="48"/>
        <v>394.84800000000001</v>
      </c>
      <c r="V587" s="12" t="s">
        <v>53</v>
      </c>
      <c r="W587" s="12">
        <v>73</v>
      </c>
    </row>
    <row r="588" spans="4:23" s="12" customFormat="1" ht="30.75" customHeight="1" thickTop="1" thickBot="1" x14ac:dyDescent="0.35">
      <c r="D588" s="10"/>
      <c r="G588" s="13">
        <f t="shared" si="49"/>
        <v>587</v>
      </c>
      <c r="H588" s="18">
        <v>45837</v>
      </c>
      <c r="I588" s="15" t="s">
        <v>31</v>
      </c>
      <c r="J588" s="15">
        <v>3840</v>
      </c>
      <c r="K588" s="15">
        <v>20</v>
      </c>
      <c r="L588" s="15">
        <v>3609.6</v>
      </c>
      <c r="M588" s="16">
        <f t="shared" si="45"/>
        <v>180.48</v>
      </c>
      <c r="N588" s="15">
        <v>0</v>
      </c>
      <c r="O588" s="16">
        <f t="shared" si="46"/>
        <v>3840</v>
      </c>
      <c r="P588" s="15" t="s">
        <v>18</v>
      </c>
      <c r="Q588" s="15">
        <v>0.06</v>
      </c>
      <c r="R588" s="16">
        <f t="shared" si="47"/>
        <v>230.39999999999998</v>
      </c>
      <c r="S588" s="15">
        <v>0</v>
      </c>
      <c r="T588" s="15">
        <v>0</v>
      </c>
      <c r="U588" s="17">
        <f t="shared" si="48"/>
        <v>230.39999999999998</v>
      </c>
      <c r="V588" s="12" t="s">
        <v>53</v>
      </c>
      <c r="W588" s="12">
        <v>73</v>
      </c>
    </row>
    <row r="589" spans="4:23" s="12" customFormat="1" ht="30.75" customHeight="1" thickTop="1" thickBot="1" x14ac:dyDescent="0.35">
      <c r="D589" s="10"/>
      <c r="G589" s="13">
        <f t="shared" si="49"/>
        <v>588</v>
      </c>
      <c r="H589" s="18">
        <v>45839</v>
      </c>
      <c r="I589" s="15" t="s">
        <v>30</v>
      </c>
      <c r="J589" s="15">
        <v>30720</v>
      </c>
      <c r="K589" s="15">
        <v>100</v>
      </c>
      <c r="L589" s="15">
        <v>23162.799999999999</v>
      </c>
      <c r="M589" s="16">
        <f t="shared" si="45"/>
        <v>231.62799999999999</v>
      </c>
      <c r="N589" s="15">
        <v>0</v>
      </c>
      <c r="O589" s="16">
        <f t="shared" si="46"/>
        <v>30720</v>
      </c>
      <c r="P589" s="15" t="s">
        <v>18</v>
      </c>
      <c r="Q589" s="15">
        <v>0.06</v>
      </c>
      <c r="R589" s="16">
        <f t="shared" si="47"/>
        <v>1843.1999999999998</v>
      </c>
      <c r="S589" s="15">
        <v>0</v>
      </c>
      <c r="T589" s="15">
        <v>0</v>
      </c>
      <c r="U589" s="17">
        <f t="shared" si="48"/>
        <v>1843.1999999999998</v>
      </c>
      <c r="V589" s="12" t="s">
        <v>53</v>
      </c>
      <c r="W589" s="12">
        <v>74</v>
      </c>
    </row>
    <row r="590" spans="4:23" s="12" customFormat="1" ht="30.75" customHeight="1" thickTop="1" thickBot="1" x14ac:dyDescent="0.35">
      <c r="D590" s="10"/>
      <c r="G590" s="13">
        <f t="shared" si="49"/>
        <v>589</v>
      </c>
      <c r="H590" s="18">
        <v>45839</v>
      </c>
      <c r="I590" s="15" t="s">
        <v>17</v>
      </c>
      <c r="J590" s="15">
        <v>76800</v>
      </c>
      <c r="K590" s="15">
        <v>250</v>
      </c>
      <c r="L590" s="15">
        <v>57907.199999999997</v>
      </c>
      <c r="M590" s="16">
        <f t="shared" si="45"/>
        <v>231.62879999999998</v>
      </c>
      <c r="N590" s="15">
        <v>0</v>
      </c>
      <c r="O590" s="16">
        <f t="shared" si="46"/>
        <v>76800</v>
      </c>
      <c r="P590" s="15" t="s">
        <v>18</v>
      </c>
      <c r="Q590" s="15">
        <v>0.06</v>
      </c>
      <c r="R590" s="16">
        <f t="shared" si="47"/>
        <v>4608</v>
      </c>
      <c r="S590" s="15">
        <v>0</v>
      </c>
      <c r="T590" s="15">
        <v>0</v>
      </c>
      <c r="U590" s="17">
        <f t="shared" si="48"/>
        <v>4608</v>
      </c>
      <c r="V590" s="12" t="s">
        <v>53</v>
      </c>
      <c r="W590" s="12">
        <v>74</v>
      </c>
    </row>
    <row r="591" spans="4:23" s="12" customFormat="1" ht="30.75" customHeight="1" thickTop="1" thickBot="1" x14ac:dyDescent="0.35">
      <c r="D591" s="10"/>
      <c r="G591" s="13">
        <f t="shared" si="49"/>
        <v>590</v>
      </c>
      <c r="H591" s="18">
        <v>45839</v>
      </c>
      <c r="I591" s="15" t="s">
        <v>35</v>
      </c>
      <c r="J591" s="15">
        <v>6132</v>
      </c>
      <c r="K591" s="15">
        <v>35</v>
      </c>
      <c r="L591" s="15">
        <v>5764.08</v>
      </c>
      <c r="M591" s="16">
        <f t="shared" si="45"/>
        <v>164.68799999999999</v>
      </c>
      <c r="N591" s="15">
        <v>0</v>
      </c>
      <c r="O591" s="16">
        <f t="shared" si="46"/>
        <v>6132</v>
      </c>
      <c r="P591" s="15" t="s">
        <v>18</v>
      </c>
      <c r="Q591" s="15">
        <v>0.06</v>
      </c>
      <c r="R591" s="16">
        <f t="shared" si="47"/>
        <v>367.91999999999996</v>
      </c>
      <c r="S591" s="15">
        <v>0</v>
      </c>
      <c r="T591" s="15">
        <v>0</v>
      </c>
      <c r="U591" s="17">
        <f t="shared" si="48"/>
        <v>367.91999999999996</v>
      </c>
      <c r="V591" s="12" t="s">
        <v>53</v>
      </c>
      <c r="W591" s="12">
        <v>74</v>
      </c>
    </row>
    <row r="592" spans="4:23" s="12" customFormat="1" ht="30.75" customHeight="1" thickTop="1" thickBot="1" x14ac:dyDescent="0.35">
      <c r="D592" s="10"/>
      <c r="G592" s="13">
        <f t="shared" si="49"/>
        <v>591</v>
      </c>
      <c r="H592" s="18">
        <v>45839</v>
      </c>
      <c r="I592" s="36" t="s">
        <v>20</v>
      </c>
      <c r="J592" s="15">
        <v>864</v>
      </c>
      <c r="K592" s="15">
        <v>3</v>
      </c>
      <c r="L592" s="15">
        <v>812.16</v>
      </c>
      <c r="M592" s="16">
        <f t="shared" si="45"/>
        <v>270.71999999999997</v>
      </c>
      <c r="N592" s="15">
        <v>0</v>
      </c>
      <c r="O592" s="16">
        <f t="shared" si="46"/>
        <v>864</v>
      </c>
      <c r="P592" s="15" t="s">
        <v>18</v>
      </c>
      <c r="Q592" s="15">
        <v>0.06</v>
      </c>
      <c r="R592" s="16">
        <f t="shared" si="47"/>
        <v>51.839999999999996</v>
      </c>
      <c r="S592" s="15">
        <v>0</v>
      </c>
      <c r="T592" s="15">
        <v>0</v>
      </c>
      <c r="U592" s="17">
        <f t="shared" si="48"/>
        <v>51.839999999999996</v>
      </c>
      <c r="V592" s="12" t="s">
        <v>53</v>
      </c>
      <c r="W592" s="12">
        <v>74</v>
      </c>
    </row>
    <row r="593" spans="4:23" s="12" customFormat="1" ht="30.75" customHeight="1" thickTop="1" thickBot="1" x14ac:dyDescent="0.35">
      <c r="D593" s="10"/>
      <c r="G593" s="13">
        <f t="shared" si="49"/>
        <v>592</v>
      </c>
      <c r="H593" s="18">
        <v>45839</v>
      </c>
      <c r="I593" s="15" t="s">
        <v>21</v>
      </c>
      <c r="J593" s="15">
        <v>2472</v>
      </c>
      <c r="K593" s="15">
        <v>10</v>
      </c>
      <c r="L593" s="15">
        <v>2323.6799999999998</v>
      </c>
      <c r="M593" s="16">
        <f t="shared" si="45"/>
        <v>232.36799999999999</v>
      </c>
      <c r="N593" s="15">
        <v>0</v>
      </c>
      <c r="O593" s="16">
        <f t="shared" si="46"/>
        <v>2472</v>
      </c>
      <c r="P593" s="15" t="s">
        <v>18</v>
      </c>
      <c r="Q593" s="15">
        <v>0.06</v>
      </c>
      <c r="R593" s="16">
        <f t="shared" si="47"/>
        <v>148.32</v>
      </c>
      <c r="S593" s="15">
        <v>0</v>
      </c>
      <c r="T593" s="15">
        <v>0</v>
      </c>
      <c r="U593" s="17">
        <f t="shared" si="48"/>
        <v>148.32</v>
      </c>
      <c r="V593" s="12" t="s">
        <v>53</v>
      </c>
      <c r="W593" s="12">
        <v>74</v>
      </c>
    </row>
    <row r="594" spans="4:23" s="12" customFormat="1" ht="30.75" customHeight="1" thickTop="1" thickBot="1" x14ac:dyDescent="0.35">
      <c r="D594" s="10"/>
      <c r="G594" s="13">
        <f t="shared" si="49"/>
        <v>593</v>
      </c>
      <c r="H594" s="18">
        <v>45839</v>
      </c>
      <c r="I594" s="15" t="s">
        <v>23</v>
      </c>
      <c r="J594" s="15">
        <v>28800</v>
      </c>
      <c r="K594" s="15">
        <v>150</v>
      </c>
      <c r="L594" s="15">
        <v>27072</v>
      </c>
      <c r="M594" s="16">
        <f t="shared" si="45"/>
        <v>180.48</v>
      </c>
      <c r="N594" s="15">
        <v>0</v>
      </c>
      <c r="O594" s="16">
        <f t="shared" si="46"/>
        <v>28800</v>
      </c>
      <c r="P594" s="15" t="s">
        <v>18</v>
      </c>
      <c r="Q594" s="15">
        <v>0.06</v>
      </c>
      <c r="R594" s="16">
        <f t="shared" si="47"/>
        <v>1728</v>
      </c>
      <c r="S594" s="15">
        <v>0</v>
      </c>
      <c r="T594" s="15">
        <v>0</v>
      </c>
      <c r="U594" s="17">
        <f t="shared" si="48"/>
        <v>1728</v>
      </c>
      <c r="V594" s="12" t="s">
        <v>53</v>
      </c>
      <c r="W594" s="12">
        <v>74</v>
      </c>
    </row>
    <row r="595" spans="4:23" s="12" customFormat="1" ht="30.75" customHeight="1" thickTop="1" thickBot="1" x14ac:dyDescent="0.35">
      <c r="D595" s="10"/>
      <c r="G595" s="13">
        <f t="shared" si="49"/>
        <v>594</v>
      </c>
      <c r="H595" s="18">
        <v>45839</v>
      </c>
      <c r="I595" s="15" t="s">
        <v>24</v>
      </c>
      <c r="J595" s="15">
        <v>3250.4</v>
      </c>
      <c r="K595" s="15">
        <v>10</v>
      </c>
      <c r="L595" s="15">
        <v>3055.38</v>
      </c>
      <c r="M595" s="16">
        <f t="shared" si="45"/>
        <v>305.53800000000001</v>
      </c>
      <c r="N595" s="15">
        <v>0</v>
      </c>
      <c r="O595" s="16">
        <f t="shared" si="46"/>
        <v>3250.4</v>
      </c>
      <c r="P595" s="15" t="s">
        <v>18</v>
      </c>
      <c r="Q595" s="15">
        <v>0.06</v>
      </c>
      <c r="R595" s="16">
        <f t="shared" si="47"/>
        <v>195.024</v>
      </c>
      <c r="S595" s="15">
        <v>0</v>
      </c>
      <c r="T595" s="15">
        <v>0</v>
      </c>
      <c r="U595" s="17">
        <f t="shared" si="48"/>
        <v>195.024</v>
      </c>
      <c r="V595" s="12" t="s">
        <v>53</v>
      </c>
      <c r="W595" s="12">
        <v>74</v>
      </c>
    </row>
    <row r="596" spans="4:23" s="12" customFormat="1" ht="30.75" customHeight="1" thickTop="1" thickBot="1" x14ac:dyDescent="0.35">
      <c r="D596" s="10"/>
      <c r="G596" s="13">
        <f t="shared" si="49"/>
        <v>595</v>
      </c>
      <c r="H596" s="18">
        <v>45843</v>
      </c>
      <c r="I596" s="36" t="s">
        <v>47</v>
      </c>
      <c r="J596" s="15">
        <v>26048.400000000001</v>
      </c>
      <c r="K596" s="15">
        <v>70</v>
      </c>
      <c r="L596" s="15">
        <v>24485.5</v>
      </c>
      <c r="M596" s="16">
        <f t="shared" si="45"/>
        <v>349.79285714285714</v>
      </c>
      <c r="N596" s="15">
        <v>0</v>
      </c>
      <c r="O596" s="16">
        <f t="shared" si="46"/>
        <v>26048.400000000001</v>
      </c>
      <c r="P596" s="15" t="s">
        <v>26</v>
      </c>
      <c r="Q596" s="15">
        <v>0.02</v>
      </c>
      <c r="R596" s="16">
        <f t="shared" si="47"/>
        <v>520.96800000000007</v>
      </c>
      <c r="S596" s="15">
        <v>0</v>
      </c>
      <c r="T596" s="15">
        <v>0</v>
      </c>
      <c r="U596" s="17">
        <f t="shared" si="48"/>
        <v>520.96800000000007</v>
      </c>
      <c r="V596" s="12" t="s">
        <v>53</v>
      </c>
      <c r="W596" s="12">
        <v>75</v>
      </c>
    </row>
    <row r="597" spans="4:23" s="12" customFormat="1" ht="30.75" customHeight="1" thickTop="1" thickBot="1" x14ac:dyDescent="0.35">
      <c r="D597" s="10"/>
      <c r="G597" s="13">
        <f t="shared" si="49"/>
        <v>596</v>
      </c>
      <c r="H597" s="18">
        <v>45843</v>
      </c>
      <c r="I597" s="36" t="s">
        <v>39</v>
      </c>
      <c r="J597" s="15">
        <v>21607.200000000001</v>
      </c>
      <c r="K597" s="15">
        <v>60</v>
      </c>
      <c r="L597" s="15">
        <v>20310.77</v>
      </c>
      <c r="M597" s="16">
        <f t="shared" si="45"/>
        <v>338.51283333333333</v>
      </c>
      <c r="N597" s="15">
        <v>0</v>
      </c>
      <c r="O597" s="16">
        <f t="shared" si="46"/>
        <v>21607.200000000001</v>
      </c>
      <c r="P597" s="15" t="s">
        <v>26</v>
      </c>
      <c r="Q597" s="15">
        <v>0.02</v>
      </c>
      <c r="R597" s="16">
        <f t="shared" si="47"/>
        <v>432.14400000000001</v>
      </c>
      <c r="S597" s="15">
        <v>0</v>
      </c>
      <c r="T597" s="15">
        <v>0</v>
      </c>
      <c r="U597" s="17">
        <f t="shared" si="48"/>
        <v>432.14400000000001</v>
      </c>
      <c r="V597" s="12" t="s">
        <v>53</v>
      </c>
      <c r="W597" s="12">
        <v>75</v>
      </c>
    </row>
    <row r="598" spans="4:23" s="12" customFormat="1" ht="30.75" customHeight="1" thickTop="1" thickBot="1" x14ac:dyDescent="0.35">
      <c r="D598" s="10"/>
      <c r="G598" s="13">
        <f t="shared" si="49"/>
        <v>597</v>
      </c>
      <c r="H598" s="18">
        <v>45843</v>
      </c>
      <c r="I598" s="15" t="s">
        <v>25</v>
      </c>
      <c r="J598" s="15">
        <v>24482.04</v>
      </c>
      <c r="K598" s="15">
        <v>102</v>
      </c>
      <c r="L598" s="15">
        <v>19397.12</v>
      </c>
      <c r="M598" s="16">
        <f t="shared" si="45"/>
        <v>190.16784313725489</v>
      </c>
      <c r="N598" s="15">
        <v>0</v>
      </c>
      <c r="O598" s="16">
        <f t="shared" si="46"/>
        <v>24482.04</v>
      </c>
      <c r="P598" s="15" t="s">
        <v>26</v>
      </c>
      <c r="Q598" s="15">
        <v>0.02</v>
      </c>
      <c r="R598" s="16">
        <f t="shared" si="47"/>
        <v>489.64080000000001</v>
      </c>
      <c r="S598" s="15">
        <v>0</v>
      </c>
      <c r="T598" s="15">
        <v>0</v>
      </c>
      <c r="U598" s="17">
        <f t="shared" si="48"/>
        <v>489.64080000000001</v>
      </c>
      <c r="V598" s="12" t="s">
        <v>53</v>
      </c>
      <c r="W598" s="12">
        <v>75</v>
      </c>
    </row>
    <row r="599" spans="4:23" s="12" customFormat="1" ht="30.75" customHeight="1" thickTop="1" thickBot="1" x14ac:dyDescent="0.35">
      <c r="D599" s="10"/>
      <c r="G599" s="13">
        <f t="shared" si="49"/>
        <v>598</v>
      </c>
      <c r="H599" s="18">
        <v>45843</v>
      </c>
      <c r="I599" s="15" t="s">
        <v>30</v>
      </c>
      <c r="J599" s="15">
        <v>46080</v>
      </c>
      <c r="K599" s="15">
        <v>150</v>
      </c>
      <c r="L599" s="15">
        <v>34744.32</v>
      </c>
      <c r="M599" s="16">
        <f t="shared" si="45"/>
        <v>231.62879999999998</v>
      </c>
      <c r="N599" s="15">
        <v>0</v>
      </c>
      <c r="O599" s="16">
        <f t="shared" si="46"/>
        <v>46080</v>
      </c>
      <c r="P599" s="15" t="s">
        <v>18</v>
      </c>
      <c r="Q599" s="15">
        <v>0.06</v>
      </c>
      <c r="R599" s="16">
        <f t="shared" si="47"/>
        <v>2764.7999999999997</v>
      </c>
      <c r="S599" s="15">
        <v>0</v>
      </c>
      <c r="T599" s="15">
        <v>0</v>
      </c>
      <c r="U599" s="17">
        <f t="shared" si="48"/>
        <v>2764.7999999999997</v>
      </c>
      <c r="V599" s="12" t="s">
        <v>53</v>
      </c>
      <c r="W599" s="12">
        <v>75</v>
      </c>
    </row>
    <row r="600" spans="4:23" s="12" customFormat="1" ht="30.75" customHeight="1" thickTop="1" thickBot="1" x14ac:dyDescent="0.35">
      <c r="D600" s="10"/>
      <c r="G600" s="13">
        <f t="shared" si="49"/>
        <v>599</v>
      </c>
      <c r="H600" s="18">
        <v>45843</v>
      </c>
      <c r="I600" s="15" t="s">
        <v>17</v>
      </c>
      <c r="J600" s="15">
        <v>34099.199999999997</v>
      </c>
      <c r="K600" s="15">
        <v>111</v>
      </c>
      <c r="L600" s="15">
        <v>25710.799999999999</v>
      </c>
      <c r="M600" s="16">
        <f t="shared" si="45"/>
        <v>231.62882882882883</v>
      </c>
      <c r="N600" s="15">
        <v>0</v>
      </c>
      <c r="O600" s="16">
        <f t="shared" si="46"/>
        <v>34099.199999999997</v>
      </c>
      <c r="P600" s="15" t="s">
        <v>18</v>
      </c>
      <c r="Q600" s="15">
        <v>0.06</v>
      </c>
      <c r="R600" s="16">
        <f t="shared" si="47"/>
        <v>2045.9519999999998</v>
      </c>
      <c r="S600" s="15">
        <v>0</v>
      </c>
      <c r="T600" s="15">
        <v>0</v>
      </c>
      <c r="U600" s="17">
        <f t="shared" si="48"/>
        <v>2045.9519999999998</v>
      </c>
      <c r="V600" s="12" t="s">
        <v>53</v>
      </c>
      <c r="W600" s="12">
        <v>75</v>
      </c>
    </row>
    <row r="601" spans="4:23" s="12" customFormat="1" ht="30.75" customHeight="1" thickTop="1" thickBot="1" x14ac:dyDescent="0.35">
      <c r="D601" s="10"/>
      <c r="G601" s="13">
        <f t="shared" si="49"/>
        <v>600</v>
      </c>
      <c r="H601" s="18">
        <v>45843</v>
      </c>
      <c r="I601" s="15" t="s">
        <v>23</v>
      </c>
      <c r="J601" s="15">
        <v>51840</v>
      </c>
      <c r="K601" s="15">
        <v>270</v>
      </c>
      <c r="L601" s="15">
        <v>48729.599999999999</v>
      </c>
      <c r="M601" s="16">
        <f t="shared" si="45"/>
        <v>180.48</v>
      </c>
      <c r="N601" s="15">
        <v>0</v>
      </c>
      <c r="O601" s="16">
        <f t="shared" si="46"/>
        <v>51840</v>
      </c>
      <c r="P601" s="15" t="s">
        <v>18</v>
      </c>
      <c r="Q601" s="15">
        <v>0.06</v>
      </c>
      <c r="R601" s="16">
        <f t="shared" si="47"/>
        <v>3110.4</v>
      </c>
      <c r="S601" s="15">
        <v>0</v>
      </c>
      <c r="T601" s="15">
        <v>0</v>
      </c>
      <c r="U601" s="17">
        <f t="shared" si="48"/>
        <v>3110.4</v>
      </c>
      <c r="V601" s="12" t="s">
        <v>53</v>
      </c>
      <c r="W601" s="12">
        <v>75</v>
      </c>
    </row>
    <row r="602" spans="4:23" s="12" customFormat="1" ht="30.75" customHeight="1" thickTop="1" thickBot="1" x14ac:dyDescent="0.35">
      <c r="D602" s="10"/>
      <c r="G602" s="13">
        <f t="shared" si="49"/>
        <v>601</v>
      </c>
      <c r="H602" s="18">
        <v>45843</v>
      </c>
      <c r="I602" s="15" t="s">
        <v>24</v>
      </c>
      <c r="J602" s="15">
        <v>6500.8</v>
      </c>
      <c r="K602" s="15">
        <v>20</v>
      </c>
      <c r="L602" s="15">
        <v>6110.75</v>
      </c>
      <c r="M602" s="16">
        <f t="shared" si="45"/>
        <v>305.53750000000002</v>
      </c>
      <c r="N602" s="15">
        <v>0</v>
      </c>
      <c r="O602" s="16">
        <f t="shared" si="46"/>
        <v>6500.8</v>
      </c>
      <c r="P602" s="15" t="s">
        <v>18</v>
      </c>
      <c r="Q602" s="15">
        <v>0.06</v>
      </c>
      <c r="R602" s="16">
        <f t="shared" si="47"/>
        <v>390.048</v>
      </c>
      <c r="S602" s="15">
        <v>0</v>
      </c>
      <c r="T602" s="15">
        <v>0</v>
      </c>
      <c r="U602" s="17">
        <f t="shared" si="48"/>
        <v>390.048</v>
      </c>
      <c r="V602" s="12" t="s">
        <v>53</v>
      </c>
      <c r="W602" s="12">
        <v>75</v>
      </c>
    </row>
    <row r="603" spans="4:23" s="12" customFormat="1" ht="30.75" customHeight="1" thickTop="1" thickBot="1" x14ac:dyDescent="0.35">
      <c r="D603" s="10"/>
      <c r="G603" s="13">
        <f t="shared" si="49"/>
        <v>602</v>
      </c>
      <c r="H603" s="18">
        <v>45844</v>
      </c>
      <c r="I603" s="15" t="s">
        <v>30</v>
      </c>
      <c r="J603" s="15">
        <v>32256</v>
      </c>
      <c r="K603" s="15">
        <v>105</v>
      </c>
      <c r="L603" s="15">
        <v>24321.02</v>
      </c>
      <c r="M603" s="16">
        <f t="shared" si="45"/>
        <v>231.62876190476192</v>
      </c>
      <c r="N603" s="15">
        <v>0</v>
      </c>
      <c r="O603" s="16">
        <f t="shared" si="46"/>
        <v>32256</v>
      </c>
      <c r="P603" s="15" t="s">
        <v>18</v>
      </c>
      <c r="Q603" s="15">
        <v>0.06</v>
      </c>
      <c r="R603" s="16">
        <f t="shared" si="47"/>
        <v>1935.36</v>
      </c>
      <c r="S603" s="15">
        <v>0</v>
      </c>
      <c r="T603" s="15">
        <v>0</v>
      </c>
      <c r="U603" s="17">
        <f t="shared" si="48"/>
        <v>1935.36</v>
      </c>
      <c r="V603" s="12" t="s">
        <v>53</v>
      </c>
      <c r="W603" s="12">
        <v>76</v>
      </c>
    </row>
    <row r="604" spans="4:23" s="12" customFormat="1" ht="30.75" customHeight="1" thickTop="1" thickBot="1" x14ac:dyDescent="0.35">
      <c r="D604" s="10"/>
      <c r="G604" s="13">
        <f t="shared" si="49"/>
        <v>603</v>
      </c>
      <c r="H604" s="18">
        <v>45844</v>
      </c>
      <c r="I604" s="15" t="s">
        <v>17</v>
      </c>
      <c r="J604" s="15">
        <v>61440</v>
      </c>
      <c r="K604" s="15">
        <v>200</v>
      </c>
      <c r="L604" s="15">
        <v>46325.760000000002</v>
      </c>
      <c r="M604" s="16">
        <f t="shared" si="45"/>
        <v>231.62880000000001</v>
      </c>
      <c r="N604" s="15">
        <v>0</v>
      </c>
      <c r="O604" s="16">
        <f t="shared" si="46"/>
        <v>61440</v>
      </c>
      <c r="P604" s="15" t="s">
        <v>18</v>
      </c>
      <c r="Q604" s="15">
        <v>0.06</v>
      </c>
      <c r="R604" s="16">
        <f t="shared" si="47"/>
        <v>3686.3999999999996</v>
      </c>
      <c r="S604" s="15">
        <v>0</v>
      </c>
      <c r="T604" s="15">
        <v>0</v>
      </c>
      <c r="U604" s="17">
        <f t="shared" si="48"/>
        <v>3686.3999999999996</v>
      </c>
      <c r="V604" s="12" t="s">
        <v>53</v>
      </c>
      <c r="W604" s="12">
        <v>76</v>
      </c>
    </row>
    <row r="605" spans="4:23" s="12" customFormat="1" ht="30.75" customHeight="1" thickTop="1" thickBot="1" x14ac:dyDescent="0.35">
      <c r="D605" s="10"/>
      <c r="G605" s="13">
        <f t="shared" si="49"/>
        <v>604</v>
      </c>
      <c r="H605" s="18">
        <v>45844</v>
      </c>
      <c r="I605" s="36" t="s">
        <v>20</v>
      </c>
      <c r="J605" s="15">
        <v>864</v>
      </c>
      <c r="K605" s="15">
        <v>3</v>
      </c>
      <c r="L605" s="15">
        <v>812.16</v>
      </c>
      <c r="M605" s="16">
        <f t="shared" si="45"/>
        <v>270.71999999999997</v>
      </c>
      <c r="N605" s="15">
        <v>0</v>
      </c>
      <c r="O605" s="16">
        <f t="shared" si="46"/>
        <v>864</v>
      </c>
      <c r="P605" s="15" t="s">
        <v>18</v>
      </c>
      <c r="Q605" s="15">
        <v>0.06</v>
      </c>
      <c r="R605" s="16">
        <f t="shared" si="47"/>
        <v>51.839999999999996</v>
      </c>
      <c r="S605" s="15">
        <v>0</v>
      </c>
      <c r="T605" s="15">
        <v>0</v>
      </c>
      <c r="U605" s="17">
        <f t="shared" si="48"/>
        <v>51.839999999999996</v>
      </c>
      <c r="V605" s="12" t="s">
        <v>53</v>
      </c>
      <c r="W605" s="12">
        <v>76</v>
      </c>
    </row>
    <row r="606" spans="4:23" s="12" customFormat="1" ht="30.75" customHeight="1" thickTop="1" thickBot="1" x14ac:dyDescent="0.35">
      <c r="D606" s="10"/>
      <c r="G606" s="13">
        <f t="shared" si="49"/>
        <v>605</v>
      </c>
      <c r="H606" s="18">
        <v>45844</v>
      </c>
      <c r="I606" s="15" t="s">
        <v>21</v>
      </c>
      <c r="J606" s="15">
        <v>2472</v>
      </c>
      <c r="K606" s="15">
        <v>10</v>
      </c>
      <c r="L606" s="15">
        <v>2323.6799999999998</v>
      </c>
      <c r="M606" s="16">
        <f t="shared" si="45"/>
        <v>232.36799999999999</v>
      </c>
      <c r="N606" s="15">
        <v>0</v>
      </c>
      <c r="O606" s="16">
        <f t="shared" si="46"/>
        <v>2472</v>
      </c>
      <c r="P606" s="15" t="s">
        <v>18</v>
      </c>
      <c r="Q606" s="15">
        <v>0.06</v>
      </c>
      <c r="R606" s="16">
        <f t="shared" si="47"/>
        <v>148.32</v>
      </c>
      <c r="S606" s="15">
        <v>0</v>
      </c>
      <c r="T606" s="15">
        <v>0</v>
      </c>
      <c r="U606" s="17">
        <f t="shared" si="48"/>
        <v>148.32</v>
      </c>
      <c r="V606" s="12" t="s">
        <v>53</v>
      </c>
      <c r="W606" s="12">
        <v>76</v>
      </c>
    </row>
    <row r="607" spans="4:23" s="12" customFormat="1" ht="30.75" customHeight="1" thickTop="1" thickBot="1" x14ac:dyDescent="0.35">
      <c r="D607" s="10"/>
      <c r="G607" s="13">
        <f t="shared" si="49"/>
        <v>606</v>
      </c>
      <c r="H607" s="18">
        <v>45844</v>
      </c>
      <c r="I607" s="15" t="s">
        <v>22</v>
      </c>
      <c r="J607" s="15">
        <v>2692.5</v>
      </c>
      <c r="K607" s="15">
        <v>10</v>
      </c>
      <c r="L607" s="15">
        <v>2530.9499999999998</v>
      </c>
      <c r="M607" s="16">
        <f t="shared" si="45"/>
        <v>253.09499999999997</v>
      </c>
      <c r="N607" s="15">
        <v>0</v>
      </c>
      <c r="O607" s="16">
        <f t="shared" si="46"/>
        <v>2692.5</v>
      </c>
      <c r="P607" s="15" t="s">
        <v>18</v>
      </c>
      <c r="Q607" s="15">
        <v>0.06</v>
      </c>
      <c r="R607" s="16">
        <f t="shared" si="47"/>
        <v>161.54999999999998</v>
      </c>
      <c r="S607" s="15">
        <v>0</v>
      </c>
      <c r="T607" s="15">
        <v>0</v>
      </c>
      <c r="U607" s="17">
        <f t="shared" si="48"/>
        <v>161.54999999999998</v>
      </c>
      <c r="V607" s="12" t="s">
        <v>53</v>
      </c>
      <c r="W607" s="12">
        <v>76</v>
      </c>
    </row>
    <row r="608" spans="4:23" s="12" customFormat="1" ht="30.75" customHeight="1" thickTop="1" thickBot="1" x14ac:dyDescent="0.35">
      <c r="D608" s="10"/>
      <c r="G608" s="13">
        <f t="shared" si="49"/>
        <v>607</v>
      </c>
      <c r="H608" s="18">
        <v>45844</v>
      </c>
      <c r="I608" s="15" t="s">
        <v>23</v>
      </c>
      <c r="J608" s="15">
        <v>54720</v>
      </c>
      <c r="K608" s="15">
        <v>285</v>
      </c>
      <c r="L608" s="15">
        <v>51436.800000000003</v>
      </c>
      <c r="M608" s="16">
        <f t="shared" si="45"/>
        <v>180.48000000000002</v>
      </c>
      <c r="N608" s="15">
        <v>0</v>
      </c>
      <c r="O608" s="16">
        <f t="shared" si="46"/>
        <v>54720</v>
      </c>
      <c r="P608" s="15" t="s">
        <v>18</v>
      </c>
      <c r="Q608" s="15">
        <v>0.06</v>
      </c>
      <c r="R608" s="16">
        <f t="shared" si="47"/>
        <v>3283.2</v>
      </c>
      <c r="S608" s="15">
        <v>0</v>
      </c>
      <c r="T608" s="15">
        <v>0</v>
      </c>
      <c r="U608" s="17">
        <f t="shared" si="48"/>
        <v>3283.2</v>
      </c>
      <c r="V608" s="12" t="s">
        <v>53</v>
      </c>
      <c r="W608" s="12">
        <v>76</v>
      </c>
    </row>
    <row r="609" spans="4:23" s="12" customFormat="1" ht="30.75" customHeight="1" thickTop="1" thickBot="1" x14ac:dyDescent="0.35">
      <c r="D609" s="10"/>
      <c r="G609" s="13">
        <f t="shared" si="49"/>
        <v>608</v>
      </c>
      <c r="H609" s="18">
        <v>45844</v>
      </c>
      <c r="I609" s="15" t="s">
        <v>24</v>
      </c>
      <c r="J609" s="15">
        <v>9751.2000000000007</v>
      </c>
      <c r="K609" s="15">
        <v>30</v>
      </c>
      <c r="L609" s="15">
        <v>9166.1299999999992</v>
      </c>
      <c r="M609" s="16">
        <f t="shared" si="45"/>
        <v>305.53766666666667</v>
      </c>
      <c r="N609" s="15">
        <v>0</v>
      </c>
      <c r="O609" s="16">
        <f t="shared" si="46"/>
        <v>9751.2000000000007</v>
      </c>
      <c r="P609" s="15" t="s">
        <v>18</v>
      </c>
      <c r="Q609" s="15">
        <v>0.06</v>
      </c>
      <c r="R609" s="16">
        <f t="shared" si="47"/>
        <v>585.072</v>
      </c>
      <c r="S609" s="15">
        <v>0</v>
      </c>
      <c r="T609" s="15">
        <v>0</v>
      </c>
      <c r="U609" s="17">
        <f t="shared" si="48"/>
        <v>585.072</v>
      </c>
      <c r="V609" s="12" t="s">
        <v>53</v>
      </c>
      <c r="W609" s="12">
        <v>76</v>
      </c>
    </row>
    <row r="610" spans="4:23" s="12" customFormat="1" ht="30.75" customHeight="1" thickTop="1" thickBot="1" x14ac:dyDescent="0.35">
      <c r="D610" s="10"/>
      <c r="G610" s="13">
        <f t="shared" si="49"/>
        <v>609</v>
      </c>
      <c r="H610" s="18">
        <v>45844</v>
      </c>
      <c r="I610" s="15" t="s">
        <v>31</v>
      </c>
      <c r="J610" s="15">
        <v>7680</v>
      </c>
      <c r="K610" s="15">
        <v>40</v>
      </c>
      <c r="L610" s="15">
        <v>7219.2</v>
      </c>
      <c r="M610" s="16">
        <f t="shared" si="45"/>
        <v>180.48</v>
      </c>
      <c r="N610" s="15">
        <v>0</v>
      </c>
      <c r="O610" s="16">
        <f t="shared" si="46"/>
        <v>7680</v>
      </c>
      <c r="P610" s="15" t="s">
        <v>18</v>
      </c>
      <c r="Q610" s="15">
        <v>0.06</v>
      </c>
      <c r="R610" s="16">
        <f t="shared" si="47"/>
        <v>460.79999999999995</v>
      </c>
      <c r="S610" s="15">
        <v>0</v>
      </c>
      <c r="T610" s="15">
        <v>0</v>
      </c>
      <c r="U610" s="17">
        <f t="shared" si="48"/>
        <v>460.79999999999995</v>
      </c>
      <c r="V610" s="12" t="s">
        <v>53</v>
      </c>
      <c r="W610" s="12">
        <v>76</v>
      </c>
    </row>
    <row r="611" spans="4:23" s="12" customFormat="1" ht="30.75" customHeight="1" thickTop="1" thickBot="1" x14ac:dyDescent="0.35">
      <c r="D611" s="10"/>
      <c r="G611" s="13">
        <f t="shared" si="49"/>
        <v>610</v>
      </c>
      <c r="H611" s="18">
        <v>45846</v>
      </c>
      <c r="I611" s="15" t="s">
        <v>30</v>
      </c>
      <c r="J611" s="15">
        <v>44544</v>
      </c>
      <c r="K611" s="15">
        <v>145</v>
      </c>
      <c r="L611" s="15">
        <v>33586.18</v>
      </c>
      <c r="M611" s="16">
        <f t="shared" si="45"/>
        <v>231.62882758620691</v>
      </c>
      <c r="N611" s="15">
        <v>0</v>
      </c>
      <c r="O611" s="16">
        <f t="shared" si="46"/>
        <v>44544</v>
      </c>
      <c r="P611" s="15" t="s">
        <v>18</v>
      </c>
      <c r="Q611" s="15">
        <v>0.06</v>
      </c>
      <c r="R611" s="16">
        <f t="shared" si="47"/>
        <v>2672.64</v>
      </c>
      <c r="S611" s="15">
        <v>0</v>
      </c>
      <c r="T611" s="15">
        <v>0</v>
      </c>
      <c r="U611" s="17">
        <f t="shared" si="48"/>
        <v>2672.64</v>
      </c>
      <c r="V611" s="12" t="s">
        <v>53</v>
      </c>
      <c r="W611" s="12">
        <v>77</v>
      </c>
    </row>
    <row r="612" spans="4:23" s="12" customFormat="1" ht="30.75" customHeight="1" thickTop="1" thickBot="1" x14ac:dyDescent="0.35">
      <c r="D612" s="10"/>
      <c r="G612" s="13">
        <f t="shared" si="49"/>
        <v>611</v>
      </c>
      <c r="H612" s="18">
        <v>45846</v>
      </c>
      <c r="I612" s="15" t="s">
        <v>17</v>
      </c>
      <c r="J612" s="15">
        <v>73728</v>
      </c>
      <c r="K612" s="15">
        <v>240</v>
      </c>
      <c r="L612" s="15">
        <v>55590.91</v>
      </c>
      <c r="M612" s="16">
        <f t="shared" si="45"/>
        <v>231.62879166666667</v>
      </c>
      <c r="N612" s="15">
        <v>0</v>
      </c>
      <c r="O612" s="16">
        <f t="shared" si="46"/>
        <v>73728</v>
      </c>
      <c r="P612" s="15" t="s">
        <v>18</v>
      </c>
      <c r="Q612" s="15">
        <v>0.06</v>
      </c>
      <c r="R612" s="16">
        <f t="shared" si="47"/>
        <v>4423.68</v>
      </c>
      <c r="S612" s="15">
        <v>0</v>
      </c>
      <c r="T612" s="15">
        <v>0</v>
      </c>
      <c r="U612" s="17">
        <f t="shared" si="48"/>
        <v>4423.68</v>
      </c>
      <c r="V612" s="12" t="s">
        <v>53</v>
      </c>
      <c r="W612" s="12">
        <v>77</v>
      </c>
    </row>
    <row r="613" spans="4:23" s="12" customFormat="1" ht="30.75" customHeight="1" thickTop="1" thickBot="1" x14ac:dyDescent="0.35">
      <c r="D613" s="10"/>
      <c r="G613" s="13">
        <f t="shared" si="49"/>
        <v>612</v>
      </c>
      <c r="H613" s="18">
        <v>45846</v>
      </c>
      <c r="I613" s="36" t="s">
        <v>20</v>
      </c>
      <c r="J613" s="15">
        <v>576</v>
      </c>
      <c r="K613" s="15">
        <v>2</v>
      </c>
      <c r="L613" s="15">
        <v>541.44000000000005</v>
      </c>
      <c r="M613" s="16">
        <f t="shared" si="45"/>
        <v>270.72000000000003</v>
      </c>
      <c r="N613" s="15">
        <v>0</v>
      </c>
      <c r="O613" s="16">
        <f t="shared" si="46"/>
        <v>576</v>
      </c>
      <c r="P613" s="15" t="s">
        <v>18</v>
      </c>
      <c r="Q613" s="15">
        <v>0.06</v>
      </c>
      <c r="R613" s="16">
        <f t="shared" si="47"/>
        <v>34.56</v>
      </c>
      <c r="S613" s="15">
        <v>0</v>
      </c>
      <c r="T613" s="15">
        <v>0</v>
      </c>
      <c r="U613" s="17">
        <f t="shared" si="48"/>
        <v>34.56</v>
      </c>
      <c r="V613" s="12" t="s">
        <v>53</v>
      </c>
      <c r="W613" s="12">
        <v>77</v>
      </c>
    </row>
    <row r="614" spans="4:23" s="12" customFormat="1" ht="30.75" customHeight="1" thickTop="1" thickBot="1" x14ac:dyDescent="0.35">
      <c r="D614" s="10"/>
      <c r="G614" s="13">
        <f t="shared" si="49"/>
        <v>613</v>
      </c>
      <c r="H614" s="18">
        <v>45846</v>
      </c>
      <c r="I614" s="15" t="s">
        <v>21</v>
      </c>
      <c r="J614" s="15">
        <v>988.8</v>
      </c>
      <c r="K614" s="15">
        <v>4</v>
      </c>
      <c r="L614" s="15">
        <v>929.47</v>
      </c>
      <c r="M614" s="16">
        <f t="shared" si="45"/>
        <v>232.36750000000001</v>
      </c>
      <c r="N614" s="15">
        <v>0</v>
      </c>
      <c r="O614" s="16">
        <f t="shared" si="46"/>
        <v>988.8</v>
      </c>
      <c r="P614" s="15" t="s">
        <v>18</v>
      </c>
      <c r="Q614" s="15">
        <v>0.06</v>
      </c>
      <c r="R614" s="16">
        <f t="shared" si="47"/>
        <v>59.327999999999996</v>
      </c>
      <c r="S614" s="15">
        <v>0</v>
      </c>
      <c r="T614" s="15">
        <v>0</v>
      </c>
      <c r="U614" s="17">
        <f t="shared" si="48"/>
        <v>59.327999999999996</v>
      </c>
      <c r="V614" s="12" t="s">
        <v>53</v>
      </c>
      <c r="W614" s="12">
        <v>77</v>
      </c>
    </row>
    <row r="615" spans="4:23" s="12" customFormat="1" ht="30.75" customHeight="1" thickTop="1" thickBot="1" x14ac:dyDescent="0.35">
      <c r="D615" s="10"/>
      <c r="G615" s="13">
        <f t="shared" si="49"/>
        <v>614</v>
      </c>
      <c r="H615" s="18">
        <v>45846</v>
      </c>
      <c r="I615" s="15" t="s">
        <v>23</v>
      </c>
      <c r="J615" s="15">
        <v>48000</v>
      </c>
      <c r="K615" s="15">
        <v>250</v>
      </c>
      <c r="L615" s="15">
        <v>45120</v>
      </c>
      <c r="M615" s="16">
        <f t="shared" si="45"/>
        <v>180.48</v>
      </c>
      <c r="N615" s="15">
        <v>0</v>
      </c>
      <c r="O615" s="16">
        <f t="shared" si="46"/>
        <v>48000</v>
      </c>
      <c r="P615" s="15" t="s">
        <v>18</v>
      </c>
      <c r="Q615" s="15">
        <v>0.06</v>
      </c>
      <c r="R615" s="16">
        <f t="shared" si="47"/>
        <v>2880</v>
      </c>
      <c r="S615" s="15">
        <v>0</v>
      </c>
      <c r="T615" s="15">
        <v>0</v>
      </c>
      <c r="U615" s="17">
        <f t="shared" si="48"/>
        <v>2880</v>
      </c>
      <c r="V615" s="12" t="s">
        <v>53</v>
      </c>
      <c r="W615" s="12">
        <v>77</v>
      </c>
    </row>
    <row r="616" spans="4:23" s="12" customFormat="1" ht="30.75" customHeight="1" thickTop="1" thickBot="1" x14ac:dyDescent="0.35">
      <c r="D616" s="10"/>
      <c r="G616" s="13">
        <f t="shared" si="49"/>
        <v>615</v>
      </c>
      <c r="H616" s="18">
        <v>45846</v>
      </c>
      <c r="I616" s="15" t="s">
        <v>24</v>
      </c>
      <c r="J616" s="15">
        <v>9751.2000000000007</v>
      </c>
      <c r="K616" s="15">
        <v>30</v>
      </c>
      <c r="L616" s="15">
        <v>9166.1299999999992</v>
      </c>
      <c r="M616" s="16">
        <f t="shared" si="45"/>
        <v>305.53766666666667</v>
      </c>
      <c r="N616" s="15">
        <v>0</v>
      </c>
      <c r="O616" s="16">
        <f t="shared" si="46"/>
        <v>9751.2000000000007</v>
      </c>
      <c r="P616" s="15" t="s">
        <v>18</v>
      </c>
      <c r="Q616" s="15">
        <v>0.06</v>
      </c>
      <c r="R616" s="16">
        <f t="shared" si="47"/>
        <v>585.072</v>
      </c>
      <c r="S616" s="15">
        <v>0</v>
      </c>
      <c r="T616" s="15">
        <v>0</v>
      </c>
      <c r="U616" s="17">
        <f t="shared" si="48"/>
        <v>585.072</v>
      </c>
      <c r="V616" s="12" t="s">
        <v>53</v>
      </c>
      <c r="W616" s="12">
        <v>77</v>
      </c>
    </row>
    <row r="617" spans="4:23" s="12" customFormat="1" ht="30.75" customHeight="1" thickTop="1" thickBot="1" x14ac:dyDescent="0.35">
      <c r="D617" s="10"/>
      <c r="G617" s="13">
        <f t="shared" si="49"/>
        <v>616</v>
      </c>
      <c r="H617" s="18">
        <v>45846</v>
      </c>
      <c r="I617" s="15" t="s">
        <v>31</v>
      </c>
      <c r="J617" s="15">
        <v>5760</v>
      </c>
      <c r="K617" s="15">
        <v>30</v>
      </c>
      <c r="L617" s="15">
        <v>5414.4</v>
      </c>
      <c r="M617" s="16">
        <f t="shared" si="45"/>
        <v>180.48</v>
      </c>
      <c r="N617" s="15">
        <v>0</v>
      </c>
      <c r="O617" s="16">
        <f t="shared" si="46"/>
        <v>5760</v>
      </c>
      <c r="P617" s="15" t="s">
        <v>18</v>
      </c>
      <c r="Q617" s="15">
        <v>0.06</v>
      </c>
      <c r="R617" s="16">
        <f t="shared" si="47"/>
        <v>345.59999999999997</v>
      </c>
      <c r="S617" s="15">
        <v>0</v>
      </c>
      <c r="T617" s="15">
        <v>0</v>
      </c>
      <c r="U617" s="17">
        <f t="shared" si="48"/>
        <v>345.59999999999997</v>
      </c>
      <c r="V617" s="12" t="s">
        <v>53</v>
      </c>
      <c r="W617" s="12">
        <v>77</v>
      </c>
    </row>
    <row r="618" spans="4:23" s="12" customFormat="1" ht="30.75" customHeight="1" thickTop="1" thickBot="1" x14ac:dyDescent="0.35">
      <c r="D618" s="10"/>
      <c r="G618" s="13">
        <f t="shared" si="49"/>
        <v>617</v>
      </c>
      <c r="H618" s="18">
        <v>45849</v>
      </c>
      <c r="I618" s="15" t="s">
        <v>25</v>
      </c>
      <c r="J618" s="15">
        <v>24002</v>
      </c>
      <c r="K618" s="15">
        <v>100</v>
      </c>
      <c r="L618" s="15">
        <v>19016.78</v>
      </c>
      <c r="M618" s="16">
        <f t="shared" si="45"/>
        <v>190.1678</v>
      </c>
      <c r="N618" s="15">
        <v>0</v>
      </c>
      <c r="O618" s="16">
        <f t="shared" si="46"/>
        <v>24002</v>
      </c>
      <c r="P618" s="15" t="s">
        <v>26</v>
      </c>
      <c r="Q618" s="15">
        <v>0.02</v>
      </c>
      <c r="R618" s="16">
        <f t="shared" si="47"/>
        <v>480.04</v>
      </c>
      <c r="S618" s="15">
        <v>0</v>
      </c>
      <c r="T618" s="15">
        <v>0</v>
      </c>
      <c r="U618" s="17">
        <f t="shared" si="48"/>
        <v>480.04</v>
      </c>
      <c r="V618" s="12" t="s">
        <v>53</v>
      </c>
      <c r="W618" s="12">
        <v>78</v>
      </c>
    </row>
    <row r="619" spans="4:23" s="12" customFormat="1" ht="30.75" customHeight="1" thickTop="1" thickBot="1" x14ac:dyDescent="0.35">
      <c r="D619" s="10"/>
      <c r="G619" s="13">
        <f t="shared" si="49"/>
        <v>618</v>
      </c>
      <c r="H619" s="18">
        <v>45849</v>
      </c>
      <c r="I619" s="15" t="s">
        <v>30</v>
      </c>
      <c r="J619" s="15">
        <v>70656</v>
      </c>
      <c r="K619" s="15">
        <v>230</v>
      </c>
      <c r="L619" s="15">
        <v>53274.62</v>
      </c>
      <c r="M619" s="16">
        <f t="shared" si="45"/>
        <v>231.62878260869567</v>
      </c>
      <c r="N619" s="15">
        <v>0</v>
      </c>
      <c r="O619" s="16">
        <f t="shared" si="46"/>
        <v>70656</v>
      </c>
      <c r="P619" s="15" t="s">
        <v>18</v>
      </c>
      <c r="Q619" s="15">
        <v>0.06</v>
      </c>
      <c r="R619" s="16">
        <f t="shared" si="47"/>
        <v>4239.3599999999997</v>
      </c>
      <c r="S619" s="15">
        <v>0</v>
      </c>
      <c r="T619" s="15">
        <v>0</v>
      </c>
      <c r="U619" s="17">
        <f t="shared" si="48"/>
        <v>4239.3599999999997</v>
      </c>
      <c r="V619" s="12" t="s">
        <v>53</v>
      </c>
      <c r="W619" s="12">
        <v>78</v>
      </c>
    </row>
    <row r="620" spans="4:23" s="12" customFormat="1" ht="30.75" customHeight="1" thickTop="1" thickBot="1" x14ac:dyDescent="0.35">
      <c r="D620" s="10"/>
      <c r="G620" s="13">
        <f t="shared" si="49"/>
        <v>619</v>
      </c>
      <c r="H620" s="18">
        <v>45849</v>
      </c>
      <c r="I620" s="15" t="s">
        <v>17</v>
      </c>
      <c r="J620" s="15">
        <v>122880</v>
      </c>
      <c r="K620" s="15">
        <v>400</v>
      </c>
      <c r="L620" s="15">
        <v>92651.520000000004</v>
      </c>
      <c r="M620" s="16">
        <f t="shared" si="45"/>
        <v>231.62880000000001</v>
      </c>
      <c r="N620" s="15">
        <v>0</v>
      </c>
      <c r="O620" s="16">
        <f t="shared" si="46"/>
        <v>122880</v>
      </c>
      <c r="P620" s="15" t="s">
        <v>18</v>
      </c>
      <c r="Q620" s="15">
        <v>0.06</v>
      </c>
      <c r="R620" s="16">
        <f t="shared" si="47"/>
        <v>7372.7999999999993</v>
      </c>
      <c r="S620" s="15">
        <v>0</v>
      </c>
      <c r="T620" s="15">
        <v>0</v>
      </c>
      <c r="U620" s="17">
        <f t="shared" si="48"/>
        <v>7372.7999999999993</v>
      </c>
      <c r="V620" s="12" t="s">
        <v>53</v>
      </c>
      <c r="W620" s="12">
        <v>78</v>
      </c>
    </row>
    <row r="621" spans="4:23" s="12" customFormat="1" ht="30.75" customHeight="1" thickTop="1" thickBot="1" x14ac:dyDescent="0.35">
      <c r="D621" s="10"/>
      <c r="G621" s="13">
        <f t="shared" si="49"/>
        <v>620</v>
      </c>
      <c r="H621" s="18">
        <v>45849</v>
      </c>
      <c r="I621" s="36" t="s">
        <v>20</v>
      </c>
      <c r="J621" s="15">
        <v>864</v>
      </c>
      <c r="K621" s="15">
        <v>3</v>
      </c>
      <c r="L621" s="15">
        <v>812.16</v>
      </c>
      <c r="M621" s="16">
        <f t="shared" si="45"/>
        <v>270.71999999999997</v>
      </c>
      <c r="N621" s="15">
        <v>0</v>
      </c>
      <c r="O621" s="16">
        <f t="shared" si="46"/>
        <v>864</v>
      </c>
      <c r="P621" s="15" t="s">
        <v>18</v>
      </c>
      <c r="Q621" s="15">
        <v>0.06</v>
      </c>
      <c r="R621" s="16">
        <f t="shared" si="47"/>
        <v>51.839999999999996</v>
      </c>
      <c r="S621" s="15">
        <v>0</v>
      </c>
      <c r="T621" s="15">
        <v>0</v>
      </c>
      <c r="U621" s="17">
        <f t="shared" si="48"/>
        <v>51.839999999999996</v>
      </c>
      <c r="V621" s="12" t="s">
        <v>53</v>
      </c>
      <c r="W621" s="12">
        <v>78</v>
      </c>
    </row>
    <row r="622" spans="4:23" s="12" customFormat="1" ht="30.75" customHeight="1" thickTop="1" thickBot="1" x14ac:dyDescent="0.35">
      <c r="D622" s="10"/>
      <c r="G622" s="13">
        <f t="shared" si="49"/>
        <v>621</v>
      </c>
      <c r="H622" s="18">
        <v>45849</v>
      </c>
      <c r="I622" s="15" t="s">
        <v>21</v>
      </c>
      <c r="J622" s="15">
        <v>1236</v>
      </c>
      <c r="K622" s="15">
        <v>5</v>
      </c>
      <c r="L622" s="15">
        <v>1161.8399999999999</v>
      </c>
      <c r="M622" s="16">
        <f t="shared" si="45"/>
        <v>232.36799999999999</v>
      </c>
      <c r="N622" s="15">
        <v>0</v>
      </c>
      <c r="O622" s="16">
        <f t="shared" si="46"/>
        <v>1236</v>
      </c>
      <c r="P622" s="15" t="s">
        <v>18</v>
      </c>
      <c r="Q622" s="15">
        <v>0.06</v>
      </c>
      <c r="R622" s="16">
        <f t="shared" si="47"/>
        <v>74.16</v>
      </c>
      <c r="S622" s="15">
        <v>0</v>
      </c>
      <c r="T622" s="15">
        <v>0</v>
      </c>
      <c r="U622" s="17">
        <f t="shared" si="48"/>
        <v>74.16</v>
      </c>
      <c r="V622" s="12" t="s">
        <v>53</v>
      </c>
      <c r="W622" s="12">
        <v>78</v>
      </c>
    </row>
    <row r="623" spans="4:23" s="12" customFormat="1" ht="30.75" customHeight="1" thickTop="1" thickBot="1" x14ac:dyDescent="0.35">
      <c r="D623" s="10"/>
      <c r="G623" s="13">
        <f t="shared" si="49"/>
        <v>622</v>
      </c>
      <c r="H623" s="18">
        <v>45849</v>
      </c>
      <c r="I623" s="15" t="s">
        <v>22</v>
      </c>
      <c r="J623" s="15">
        <v>1346.25</v>
      </c>
      <c r="K623" s="15">
        <v>5</v>
      </c>
      <c r="L623" s="15">
        <v>1265.48</v>
      </c>
      <c r="M623" s="16">
        <f t="shared" si="45"/>
        <v>253.096</v>
      </c>
      <c r="N623" s="15">
        <v>0</v>
      </c>
      <c r="O623" s="16">
        <f t="shared" si="46"/>
        <v>1346.25</v>
      </c>
      <c r="P623" s="15" t="s">
        <v>18</v>
      </c>
      <c r="Q623" s="15">
        <v>0.06</v>
      </c>
      <c r="R623" s="16">
        <f t="shared" si="47"/>
        <v>80.774999999999991</v>
      </c>
      <c r="S623" s="15">
        <v>0</v>
      </c>
      <c r="T623" s="15">
        <v>0</v>
      </c>
      <c r="U623" s="17">
        <f t="shared" si="48"/>
        <v>80.774999999999991</v>
      </c>
      <c r="V623" s="12" t="s">
        <v>53</v>
      </c>
      <c r="W623" s="12">
        <v>78</v>
      </c>
    </row>
    <row r="624" spans="4:23" s="12" customFormat="1" ht="30.75" customHeight="1" thickTop="1" thickBot="1" x14ac:dyDescent="0.35">
      <c r="D624" s="10"/>
      <c r="G624" s="13">
        <f t="shared" si="49"/>
        <v>623</v>
      </c>
      <c r="H624" s="18">
        <v>45849</v>
      </c>
      <c r="I624" s="15" t="s">
        <v>23</v>
      </c>
      <c r="J624" s="15">
        <v>28800</v>
      </c>
      <c r="K624" s="15">
        <v>150</v>
      </c>
      <c r="L624" s="15">
        <v>27072</v>
      </c>
      <c r="M624" s="16">
        <f t="shared" si="45"/>
        <v>180.48</v>
      </c>
      <c r="N624" s="15">
        <v>0</v>
      </c>
      <c r="O624" s="16">
        <f t="shared" si="46"/>
        <v>28800</v>
      </c>
      <c r="P624" s="15" t="s">
        <v>18</v>
      </c>
      <c r="Q624" s="15">
        <v>0.06</v>
      </c>
      <c r="R624" s="16">
        <f t="shared" si="47"/>
        <v>1728</v>
      </c>
      <c r="S624" s="15">
        <v>0</v>
      </c>
      <c r="T624" s="15">
        <v>0</v>
      </c>
      <c r="U624" s="17">
        <f t="shared" si="48"/>
        <v>1728</v>
      </c>
      <c r="V624" s="12" t="s">
        <v>53</v>
      </c>
      <c r="W624" s="12">
        <v>78</v>
      </c>
    </row>
    <row r="625" spans="4:23" s="12" customFormat="1" ht="30.75" customHeight="1" thickTop="1" thickBot="1" x14ac:dyDescent="0.35">
      <c r="D625" s="10"/>
      <c r="G625" s="13">
        <f t="shared" si="49"/>
        <v>624</v>
      </c>
      <c r="H625" s="18">
        <v>45849</v>
      </c>
      <c r="I625" s="15" t="s">
        <v>24</v>
      </c>
      <c r="J625" s="15">
        <v>3250.4</v>
      </c>
      <c r="K625" s="15">
        <v>10</v>
      </c>
      <c r="L625" s="15">
        <v>3055.38</v>
      </c>
      <c r="M625" s="16">
        <f t="shared" si="45"/>
        <v>305.53800000000001</v>
      </c>
      <c r="N625" s="15">
        <v>0</v>
      </c>
      <c r="O625" s="16">
        <f t="shared" si="46"/>
        <v>3250.4</v>
      </c>
      <c r="P625" s="15" t="s">
        <v>18</v>
      </c>
      <c r="Q625" s="15">
        <v>0.06</v>
      </c>
      <c r="R625" s="16">
        <f t="shared" si="47"/>
        <v>195.024</v>
      </c>
      <c r="S625" s="15">
        <v>0</v>
      </c>
      <c r="T625" s="15">
        <v>0</v>
      </c>
      <c r="U625" s="17">
        <f t="shared" si="48"/>
        <v>195.024</v>
      </c>
      <c r="V625" s="12" t="s">
        <v>53</v>
      </c>
      <c r="W625" s="12">
        <v>78</v>
      </c>
    </row>
    <row r="626" spans="4:23" s="12" customFormat="1" ht="30.75" customHeight="1" thickTop="1" thickBot="1" x14ac:dyDescent="0.35">
      <c r="D626" s="10"/>
      <c r="G626" s="13">
        <f t="shared" si="49"/>
        <v>625</v>
      </c>
      <c r="H626" s="18">
        <v>45849</v>
      </c>
      <c r="I626" s="15" t="s">
        <v>31</v>
      </c>
      <c r="J626" s="15">
        <v>9600</v>
      </c>
      <c r="K626" s="15">
        <v>50</v>
      </c>
      <c r="L626" s="15">
        <v>9024</v>
      </c>
      <c r="M626" s="16">
        <f t="shared" si="45"/>
        <v>180.48</v>
      </c>
      <c r="N626" s="15">
        <v>0</v>
      </c>
      <c r="O626" s="16">
        <f t="shared" si="46"/>
        <v>9600</v>
      </c>
      <c r="P626" s="15" t="s">
        <v>18</v>
      </c>
      <c r="Q626" s="15">
        <v>0.06</v>
      </c>
      <c r="R626" s="16">
        <f t="shared" si="47"/>
        <v>576</v>
      </c>
      <c r="S626" s="15">
        <v>0</v>
      </c>
      <c r="T626" s="15">
        <v>0</v>
      </c>
      <c r="U626" s="17">
        <f t="shared" si="48"/>
        <v>576</v>
      </c>
      <c r="V626" s="12" t="s">
        <v>53</v>
      </c>
      <c r="W626" s="12">
        <v>78</v>
      </c>
    </row>
    <row r="627" spans="4:23" s="12" customFormat="1" ht="30.75" customHeight="1" thickTop="1" thickBot="1" x14ac:dyDescent="0.35">
      <c r="D627" s="10"/>
      <c r="G627" s="13">
        <f t="shared" si="49"/>
        <v>626</v>
      </c>
      <c r="H627" s="18">
        <v>45852</v>
      </c>
      <c r="I627" s="15" t="s">
        <v>30</v>
      </c>
      <c r="J627" s="15">
        <v>76812.5</v>
      </c>
      <c r="K627" s="15">
        <v>250</v>
      </c>
      <c r="L627" s="15">
        <v>57916.63</v>
      </c>
      <c r="M627" s="16">
        <f t="shared" si="45"/>
        <v>231.66651999999999</v>
      </c>
      <c r="N627" s="15">
        <v>0</v>
      </c>
      <c r="O627" s="16">
        <f t="shared" si="46"/>
        <v>76812.5</v>
      </c>
      <c r="P627" s="15" t="s">
        <v>18</v>
      </c>
      <c r="Q627" s="15">
        <v>0.06</v>
      </c>
      <c r="R627" s="16">
        <f t="shared" si="47"/>
        <v>4608.75</v>
      </c>
      <c r="S627" s="15">
        <v>0</v>
      </c>
      <c r="T627" s="15">
        <v>0</v>
      </c>
      <c r="U627" s="17">
        <f t="shared" si="48"/>
        <v>4608.75</v>
      </c>
      <c r="V627" s="12" t="s">
        <v>53</v>
      </c>
      <c r="W627" s="12">
        <v>79</v>
      </c>
    </row>
    <row r="628" spans="4:23" s="12" customFormat="1" ht="30.75" customHeight="1" thickTop="1" thickBot="1" x14ac:dyDescent="0.35">
      <c r="D628" s="10"/>
      <c r="G628" s="13">
        <f t="shared" si="49"/>
        <v>627</v>
      </c>
      <c r="H628" s="18">
        <v>45852</v>
      </c>
      <c r="I628" s="15" t="s">
        <v>17</v>
      </c>
      <c r="J628" s="15">
        <v>138262.5</v>
      </c>
      <c r="K628" s="15">
        <v>450</v>
      </c>
      <c r="L628" s="15">
        <v>104249.93</v>
      </c>
      <c r="M628" s="16">
        <f t="shared" si="45"/>
        <v>231.66651111111111</v>
      </c>
      <c r="N628" s="15">
        <v>0</v>
      </c>
      <c r="O628" s="16">
        <f t="shared" si="46"/>
        <v>138262.5</v>
      </c>
      <c r="P628" s="15" t="s">
        <v>18</v>
      </c>
      <c r="Q628" s="15">
        <v>0.06</v>
      </c>
      <c r="R628" s="16">
        <f t="shared" si="47"/>
        <v>8295.75</v>
      </c>
      <c r="S628" s="15">
        <v>0</v>
      </c>
      <c r="T628" s="15">
        <v>0</v>
      </c>
      <c r="U628" s="17">
        <f t="shared" si="48"/>
        <v>8295.75</v>
      </c>
      <c r="V628" s="12" t="s">
        <v>53</v>
      </c>
      <c r="W628" s="12">
        <v>79</v>
      </c>
    </row>
    <row r="629" spans="4:23" s="12" customFormat="1" ht="30.75" customHeight="1" thickTop="1" thickBot="1" x14ac:dyDescent="0.35">
      <c r="D629" s="10"/>
      <c r="G629" s="13">
        <f t="shared" si="49"/>
        <v>628</v>
      </c>
      <c r="H629" s="18">
        <v>45852</v>
      </c>
      <c r="I629" s="15" t="s">
        <v>35</v>
      </c>
      <c r="J629" s="15">
        <v>11388</v>
      </c>
      <c r="K629" s="15">
        <v>65</v>
      </c>
      <c r="L629" s="15">
        <v>10704.72</v>
      </c>
      <c r="M629" s="16">
        <f t="shared" si="45"/>
        <v>164.68799999999999</v>
      </c>
      <c r="N629" s="15">
        <v>0</v>
      </c>
      <c r="O629" s="16">
        <f t="shared" si="46"/>
        <v>11388</v>
      </c>
      <c r="P629" s="15" t="s">
        <v>18</v>
      </c>
      <c r="Q629" s="15">
        <v>0.06</v>
      </c>
      <c r="R629" s="16">
        <f t="shared" si="47"/>
        <v>683.28</v>
      </c>
      <c r="S629" s="15">
        <v>0</v>
      </c>
      <c r="T629" s="15">
        <v>0</v>
      </c>
      <c r="U629" s="17">
        <f t="shared" si="48"/>
        <v>683.28</v>
      </c>
      <c r="V629" s="12" t="s">
        <v>53</v>
      </c>
      <c r="W629" s="12">
        <v>79</v>
      </c>
    </row>
    <row r="630" spans="4:23" s="12" customFormat="1" ht="30.75" customHeight="1" thickTop="1" thickBot="1" x14ac:dyDescent="0.35">
      <c r="D630" s="10"/>
      <c r="G630" s="13">
        <f t="shared" si="49"/>
        <v>629</v>
      </c>
      <c r="H630" s="18">
        <v>45852</v>
      </c>
      <c r="I630" s="15" t="s">
        <v>21</v>
      </c>
      <c r="J630" s="15">
        <v>2472</v>
      </c>
      <c r="K630" s="15">
        <v>10</v>
      </c>
      <c r="L630" s="15">
        <v>2323.6799999999998</v>
      </c>
      <c r="M630" s="16">
        <f t="shared" si="45"/>
        <v>232.36799999999999</v>
      </c>
      <c r="N630" s="15">
        <v>0</v>
      </c>
      <c r="O630" s="16">
        <f t="shared" si="46"/>
        <v>2472</v>
      </c>
      <c r="P630" s="15" t="s">
        <v>18</v>
      </c>
      <c r="Q630" s="15">
        <v>0.06</v>
      </c>
      <c r="R630" s="16">
        <f t="shared" si="47"/>
        <v>148.32</v>
      </c>
      <c r="S630" s="15">
        <v>0</v>
      </c>
      <c r="T630" s="15">
        <v>0</v>
      </c>
      <c r="U630" s="17">
        <f t="shared" si="48"/>
        <v>148.32</v>
      </c>
      <c r="V630" s="12" t="s">
        <v>53</v>
      </c>
      <c r="W630" s="12">
        <v>79</v>
      </c>
    </row>
    <row r="631" spans="4:23" s="12" customFormat="1" ht="30.75" customHeight="1" thickTop="1" thickBot="1" x14ac:dyDescent="0.35">
      <c r="D631" s="10"/>
      <c r="G631" s="13">
        <f t="shared" si="49"/>
        <v>630</v>
      </c>
      <c r="H631" s="18">
        <v>45852</v>
      </c>
      <c r="I631" s="15" t="s">
        <v>22</v>
      </c>
      <c r="J631" s="15">
        <v>1346.25</v>
      </c>
      <c r="K631" s="15">
        <v>5</v>
      </c>
      <c r="L631" s="15">
        <v>1265.48</v>
      </c>
      <c r="M631" s="16">
        <f t="shared" si="45"/>
        <v>253.096</v>
      </c>
      <c r="N631" s="15">
        <v>0</v>
      </c>
      <c r="O631" s="16">
        <f t="shared" si="46"/>
        <v>1346.25</v>
      </c>
      <c r="P631" s="15" t="s">
        <v>18</v>
      </c>
      <c r="Q631" s="15">
        <v>0.06</v>
      </c>
      <c r="R631" s="16">
        <f t="shared" si="47"/>
        <v>80.774999999999991</v>
      </c>
      <c r="S631" s="15">
        <v>0</v>
      </c>
      <c r="T631" s="15">
        <v>0</v>
      </c>
      <c r="U631" s="17">
        <f t="shared" si="48"/>
        <v>80.774999999999991</v>
      </c>
      <c r="V631" s="12" t="s">
        <v>53</v>
      </c>
      <c r="W631" s="12">
        <v>79</v>
      </c>
    </row>
    <row r="632" spans="4:23" s="12" customFormat="1" ht="30.75" customHeight="1" thickTop="1" thickBot="1" x14ac:dyDescent="0.35">
      <c r="D632" s="10"/>
      <c r="G632" s="13">
        <f t="shared" si="49"/>
        <v>631</v>
      </c>
      <c r="H632" s="18">
        <v>45852</v>
      </c>
      <c r="I632" s="15" t="s">
        <v>23</v>
      </c>
      <c r="J632" s="15">
        <v>55680</v>
      </c>
      <c r="K632" s="15">
        <v>290</v>
      </c>
      <c r="L632" s="15">
        <v>52339.199999999997</v>
      </c>
      <c r="M632" s="16">
        <f t="shared" si="45"/>
        <v>180.48</v>
      </c>
      <c r="N632" s="15">
        <v>0</v>
      </c>
      <c r="O632" s="16">
        <f t="shared" si="46"/>
        <v>55680</v>
      </c>
      <c r="P632" s="15" t="s">
        <v>18</v>
      </c>
      <c r="Q632" s="15">
        <v>0.06</v>
      </c>
      <c r="R632" s="16">
        <f t="shared" si="47"/>
        <v>3340.7999999999997</v>
      </c>
      <c r="S632" s="15">
        <v>0</v>
      </c>
      <c r="T632" s="15">
        <v>0</v>
      </c>
      <c r="U632" s="17">
        <f t="shared" si="48"/>
        <v>3340.7999999999997</v>
      </c>
      <c r="V632" s="12" t="s">
        <v>53</v>
      </c>
      <c r="W632" s="12">
        <v>79</v>
      </c>
    </row>
    <row r="633" spans="4:23" s="12" customFormat="1" ht="30.75" customHeight="1" thickTop="1" thickBot="1" x14ac:dyDescent="0.35">
      <c r="D633" s="10"/>
      <c r="G633" s="13">
        <f t="shared" si="49"/>
        <v>632</v>
      </c>
      <c r="H633" s="18">
        <v>45852</v>
      </c>
      <c r="I633" s="15" t="s">
        <v>24</v>
      </c>
      <c r="J633" s="15">
        <v>8126</v>
      </c>
      <c r="K633" s="15">
        <v>25</v>
      </c>
      <c r="L633" s="15">
        <v>7638.44</v>
      </c>
      <c r="M633" s="16">
        <f t="shared" si="45"/>
        <v>305.5376</v>
      </c>
      <c r="N633" s="15">
        <v>0</v>
      </c>
      <c r="O633" s="16">
        <f t="shared" si="46"/>
        <v>8126</v>
      </c>
      <c r="P633" s="15" t="s">
        <v>18</v>
      </c>
      <c r="Q633" s="15">
        <v>0.06</v>
      </c>
      <c r="R633" s="16">
        <f t="shared" si="47"/>
        <v>487.56</v>
      </c>
      <c r="S633" s="15">
        <v>0</v>
      </c>
      <c r="T633" s="15">
        <v>0</v>
      </c>
      <c r="U633" s="17">
        <f t="shared" si="48"/>
        <v>487.56</v>
      </c>
      <c r="V633" s="12" t="s">
        <v>53</v>
      </c>
      <c r="W633" s="12">
        <v>79</v>
      </c>
    </row>
    <row r="634" spans="4:23" s="12" customFormat="1" ht="30.75" customHeight="1" thickTop="1" thickBot="1" x14ac:dyDescent="0.35">
      <c r="D634" s="10"/>
      <c r="G634" s="13">
        <f t="shared" si="49"/>
        <v>633</v>
      </c>
      <c r="H634" s="18">
        <v>45852</v>
      </c>
      <c r="I634" s="15" t="s">
        <v>31</v>
      </c>
      <c r="J634" s="15">
        <v>3840</v>
      </c>
      <c r="K634" s="15">
        <v>20</v>
      </c>
      <c r="L634" s="15">
        <v>3609.6</v>
      </c>
      <c r="M634" s="16">
        <f t="shared" si="45"/>
        <v>180.48</v>
      </c>
      <c r="N634" s="15">
        <v>0</v>
      </c>
      <c r="O634" s="16">
        <f t="shared" si="46"/>
        <v>3840</v>
      </c>
      <c r="P634" s="15" t="s">
        <v>18</v>
      </c>
      <c r="Q634" s="15">
        <v>0.06</v>
      </c>
      <c r="R634" s="16">
        <f t="shared" si="47"/>
        <v>230.39999999999998</v>
      </c>
      <c r="S634" s="15">
        <v>0</v>
      </c>
      <c r="T634" s="15">
        <v>0</v>
      </c>
      <c r="U634" s="17">
        <f t="shared" si="48"/>
        <v>230.39999999999998</v>
      </c>
      <c r="V634" s="12" t="s">
        <v>53</v>
      </c>
      <c r="W634" s="12">
        <v>79</v>
      </c>
    </row>
    <row r="635" spans="4:23" s="12" customFormat="1" ht="30.75" customHeight="1" thickTop="1" thickBot="1" x14ac:dyDescent="0.35">
      <c r="D635" s="10"/>
      <c r="G635" s="13">
        <f t="shared" si="49"/>
        <v>634</v>
      </c>
      <c r="H635" s="18">
        <v>45853</v>
      </c>
      <c r="I635" s="15" t="s">
        <v>30</v>
      </c>
      <c r="J635" s="15">
        <v>30725</v>
      </c>
      <c r="K635" s="15">
        <v>100</v>
      </c>
      <c r="L635" s="15">
        <v>23166.65</v>
      </c>
      <c r="M635" s="16">
        <f t="shared" si="45"/>
        <v>231.66650000000001</v>
      </c>
      <c r="N635" s="15">
        <v>0</v>
      </c>
      <c r="O635" s="16">
        <f t="shared" si="46"/>
        <v>30725</v>
      </c>
      <c r="P635" s="15" t="s">
        <v>18</v>
      </c>
      <c r="Q635" s="15">
        <v>0.06</v>
      </c>
      <c r="R635" s="16">
        <f t="shared" si="47"/>
        <v>1843.5</v>
      </c>
      <c r="S635" s="15">
        <v>0</v>
      </c>
      <c r="T635" s="15">
        <v>0</v>
      </c>
      <c r="U635" s="17">
        <f t="shared" si="48"/>
        <v>1843.5</v>
      </c>
      <c r="V635" s="12" t="s">
        <v>53</v>
      </c>
      <c r="W635" s="12">
        <v>80</v>
      </c>
    </row>
    <row r="636" spans="4:23" s="12" customFormat="1" ht="30.75" customHeight="1" thickTop="1" thickBot="1" x14ac:dyDescent="0.35">
      <c r="D636" s="10"/>
      <c r="G636" s="13">
        <f t="shared" si="49"/>
        <v>635</v>
      </c>
      <c r="H636" s="18">
        <v>45853</v>
      </c>
      <c r="I636" s="15" t="s">
        <v>17</v>
      </c>
      <c r="J636" s="15">
        <v>61450</v>
      </c>
      <c r="K636" s="15">
        <v>200</v>
      </c>
      <c r="L636" s="15">
        <v>46333.3</v>
      </c>
      <c r="M636" s="16">
        <f t="shared" si="45"/>
        <v>231.66650000000001</v>
      </c>
      <c r="N636" s="15">
        <v>0</v>
      </c>
      <c r="O636" s="16">
        <f t="shared" si="46"/>
        <v>61450</v>
      </c>
      <c r="P636" s="15" t="s">
        <v>18</v>
      </c>
      <c r="Q636" s="15">
        <v>0.06</v>
      </c>
      <c r="R636" s="16">
        <f t="shared" si="47"/>
        <v>3687</v>
      </c>
      <c r="S636" s="15">
        <v>0</v>
      </c>
      <c r="T636" s="15">
        <v>0</v>
      </c>
      <c r="U636" s="17">
        <f t="shared" si="48"/>
        <v>3687</v>
      </c>
      <c r="V636" s="12" t="s">
        <v>53</v>
      </c>
      <c r="W636" s="12">
        <v>80</v>
      </c>
    </row>
    <row r="637" spans="4:23" s="12" customFormat="1" ht="30.75" customHeight="1" thickTop="1" thickBot="1" x14ac:dyDescent="0.35">
      <c r="D637" s="10"/>
      <c r="G637" s="13">
        <f t="shared" si="49"/>
        <v>636</v>
      </c>
      <c r="H637" s="18">
        <v>45853</v>
      </c>
      <c r="I637" s="15" t="s">
        <v>35</v>
      </c>
      <c r="J637" s="15">
        <v>9636</v>
      </c>
      <c r="K637" s="15">
        <v>55</v>
      </c>
      <c r="L637" s="15">
        <v>9057.84</v>
      </c>
      <c r="M637" s="16">
        <f t="shared" si="45"/>
        <v>164.68800000000002</v>
      </c>
      <c r="N637" s="15">
        <v>0</v>
      </c>
      <c r="O637" s="16">
        <f t="shared" si="46"/>
        <v>9636</v>
      </c>
      <c r="P637" s="15" t="s">
        <v>18</v>
      </c>
      <c r="Q637" s="15">
        <v>0.06</v>
      </c>
      <c r="R637" s="16">
        <f t="shared" si="47"/>
        <v>578.16</v>
      </c>
      <c r="S637" s="15">
        <v>0</v>
      </c>
      <c r="T637" s="15">
        <v>0</v>
      </c>
      <c r="U637" s="17">
        <f t="shared" si="48"/>
        <v>578.16</v>
      </c>
      <c r="V637" s="12" t="s">
        <v>53</v>
      </c>
      <c r="W637" s="12">
        <v>80</v>
      </c>
    </row>
    <row r="638" spans="4:23" s="12" customFormat="1" ht="30.75" customHeight="1" thickTop="1" thickBot="1" x14ac:dyDescent="0.35">
      <c r="D638" s="10"/>
      <c r="G638" s="13">
        <f t="shared" si="49"/>
        <v>637</v>
      </c>
      <c r="H638" s="18">
        <v>45853</v>
      </c>
      <c r="I638" s="15" t="s">
        <v>21</v>
      </c>
      <c r="J638" s="15">
        <v>2472</v>
      </c>
      <c r="K638" s="15">
        <v>10</v>
      </c>
      <c r="L638" s="15">
        <v>2323.6799999999998</v>
      </c>
      <c r="M638" s="16">
        <f t="shared" si="45"/>
        <v>232.36799999999999</v>
      </c>
      <c r="N638" s="15">
        <v>0</v>
      </c>
      <c r="O638" s="16">
        <f t="shared" si="46"/>
        <v>2472</v>
      </c>
      <c r="P638" s="15" t="s">
        <v>18</v>
      </c>
      <c r="Q638" s="15">
        <v>0.06</v>
      </c>
      <c r="R638" s="16">
        <f t="shared" si="47"/>
        <v>148.32</v>
      </c>
      <c r="S638" s="15">
        <v>0</v>
      </c>
      <c r="T638" s="15">
        <v>0</v>
      </c>
      <c r="U638" s="17">
        <f t="shared" si="48"/>
        <v>148.32</v>
      </c>
      <c r="V638" s="12" t="s">
        <v>53</v>
      </c>
      <c r="W638" s="12">
        <v>80</v>
      </c>
    </row>
    <row r="639" spans="4:23" s="12" customFormat="1" ht="30.75" customHeight="1" thickTop="1" thickBot="1" x14ac:dyDescent="0.35">
      <c r="D639" s="10"/>
      <c r="G639" s="13">
        <f t="shared" si="49"/>
        <v>638</v>
      </c>
      <c r="H639" s="18">
        <v>45853</v>
      </c>
      <c r="I639" s="15" t="s">
        <v>22</v>
      </c>
      <c r="J639" s="15">
        <v>2692.5</v>
      </c>
      <c r="K639" s="15">
        <v>10</v>
      </c>
      <c r="L639" s="15">
        <v>2530.9499999999998</v>
      </c>
      <c r="M639" s="16">
        <f t="shared" si="45"/>
        <v>253.09499999999997</v>
      </c>
      <c r="N639" s="15">
        <v>0</v>
      </c>
      <c r="O639" s="16">
        <f t="shared" si="46"/>
        <v>2692.5</v>
      </c>
      <c r="P639" s="15" t="s">
        <v>18</v>
      </c>
      <c r="Q639" s="15">
        <v>0.06</v>
      </c>
      <c r="R639" s="16">
        <f t="shared" si="47"/>
        <v>161.54999999999998</v>
      </c>
      <c r="S639" s="15">
        <v>0</v>
      </c>
      <c r="T639" s="15">
        <v>0</v>
      </c>
      <c r="U639" s="17">
        <f t="shared" si="48"/>
        <v>161.54999999999998</v>
      </c>
      <c r="V639" s="12" t="s">
        <v>53</v>
      </c>
      <c r="W639" s="12">
        <v>80</v>
      </c>
    </row>
    <row r="640" spans="4:23" s="12" customFormat="1" ht="30.75" customHeight="1" thickTop="1" thickBot="1" x14ac:dyDescent="0.35">
      <c r="D640" s="10"/>
      <c r="G640" s="13">
        <f t="shared" si="49"/>
        <v>639</v>
      </c>
      <c r="H640" s="18">
        <v>45853</v>
      </c>
      <c r="I640" s="15" t="s">
        <v>23</v>
      </c>
      <c r="J640" s="15">
        <v>55680</v>
      </c>
      <c r="K640" s="15">
        <v>290</v>
      </c>
      <c r="L640" s="15">
        <v>52339.199999999997</v>
      </c>
      <c r="M640" s="16">
        <f t="shared" si="45"/>
        <v>180.48</v>
      </c>
      <c r="N640" s="15">
        <v>0</v>
      </c>
      <c r="O640" s="16">
        <f t="shared" si="46"/>
        <v>55680</v>
      </c>
      <c r="P640" s="15" t="s">
        <v>18</v>
      </c>
      <c r="Q640" s="15">
        <v>0.06</v>
      </c>
      <c r="R640" s="16">
        <f t="shared" si="47"/>
        <v>3340.7999999999997</v>
      </c>
      <c r="S640" s="15">
        <v>0</v>
      </c>
      <c r="T640" s="15">
        <v>0</v>
      </c>
      <c r="U640" s="17">
        <f t="shared" si="48"/>
        <v>3340.7999999999997</v>
      </c>
      <c r="V640" s="12" t="s">
        <v>53</v>
      </c>
      <c r="W640" s="12">
        <v>80</v>
      </c>
    </row>
    <row r="641" spans="4:23" s="12" customFormat="1" ht="30.75" customHeight="1" thickTop="1" thickBot="1" x14ac:dyDescent="0.35">
      <c r="D641" s="10"/>
      <c r="G641" s="13">
        <f t="shared" si="49"/>
        <v>640</v>
      </c>
      <c r="H641" s="18">
        <v>45853</v>
      </c>
      <c r="I641" s="15" t="s">
        <v>24</v>
      </c>
      <c r="J641" s="15">
        <v>3250.4</v>
      </c>
      <c r="K641" s="15">
        <v>10</v>
      </c>
      <c r="L641" s="15">
        <v>3055.38</v>
      </c>
      <c r="M641" s="16">
        <f t="shared" si="45"/>
        <v>305.53800000000001</v>
      </c>
      <c r="N641" s="15">
        <v>0</v>
      </c>
      <c r="O641" s="16">
        <f t="shared" si="46"/>
        <v>3250.4</v>
      </c>
      <c r="P641" s="15" t="s">
        <v>18</v>
      </c>
      <c r="Q641" s="15">
        <v>0.06</v>
      </c>
      <c r="R641" s="16">
        <f t="shared" si="47"/>
        <v>195.024</v>
      </c>
      <c r="S641" s="15">
        <v>0</v>
      </c>
      <c r="T641" s="15">
        <v>0</v>
      </c>
      <c r="U641" s="17">
        <f t="shared" si="48"/>
        <v>195.024</v>
      </c>
      <c r="V641" s="12" t="s">
        <v>53</v>
      </c>
      <c r="W641" s="12">
        <v>80</v>
      </c>
    </row>
    <row r="642" spans="4:23" s="12" customFormat="1" ht="30.75" customHeight="1" thickTop="1" thickBot="1" x14ac:dyDescent="0.35">
      <c r="D642" s="10"/>
      <c r="G642" s="13">
        <f t="shared" si="49"/>
        <v>641</v>
      </c>
      <c r="H642" s="18">
        <v>45853</v>
      </c>
      <c r="I642" s="15" t="s">
        <v>31</v>
      </c>
      <c r="J642" s="15">
        <v>9600</v>
      </c>
      <c r="K642" s="15">
        <v>50</v>
      </c>
      <c r="L642" s="15">
        <v>9024</v>
      </c>
      <c r="M642" s="16">
        <f t="shared" ref="M642:M705" si="50">IFERROR(L642/K642,"")</f>
        <v>180.48</v>
      </c>
      <c r="N642" s="15">
        <v>0</v>
      </c>
      <c r="O642" s="16">
        <f t="shared" ref="O642:O705" si="51">J642-N642</f>
        <v>9600</v>
      </c>
      <c r="P642" s="15" t="s">
        <v>18</v>
      </c>
      <c r="Q642" s="15">
        <v>0.06</v>
      </c>
      <c r="R642" s="16">
        <f t="shared" ref="R642:R705" si="52">J642*Q642</f>
        <v>576</v>
      </c>
      <c r="S642" s="15">
        <v>0</v>
      </c>
      <c r="T642" s="15">
        <v>0</v>
      </c>
      <c r="U642" s="17">
        <f t="shared" ref="U642:U705" si="53">T642+S642+R642</f>
        <v>576</v>
      </c>
      <c r="V642" s="12" t="s">
        <v>53</v>
      </c>
      <c r="W642" s="12">
        <v>80</v>
      </c>
    </row>
    <row r="643" spans="4:23" s="12" customFormat="1" ht="30.75" customHeight="1" thickTop="1" thickBot="1" x14ac:dyDescent="0.35">
      <c r="D643" s="10"/>
      <c r="G643" s="13">
        <f t="shared" si="49"/>
        <v>642</v>
      </c>
      <c r="H643" s="18">
        <v>45853</v>
      </c>
      <c r="I643" s="15" t="s">
        <v>41</v>
      </c>
      <c r="J643" s="15">
        <v>13450.8</v>
      </c>
      <c r="K643" s="15">
        <v>100</v>
      </c>
      <c r="L643" s="15">
        <v>11036.38</v>
      </c>
      <c r="M643" s="16">
        <f t="shared" si="50"/>
        <v>110.3638</v>
      </c>
      <c r="N643" s="15">
        <v>0</v>
      </c>
      <c r="O643" s="16">
        <f t="shared" si="51"/>
        <v>13450.8</v>
      </c>
      <c r="P643" s="15" t="s">
        <v>26</v>
      </c>
      <c r="Q643" s="15">
        <v>0.02</v>
      </c>
      <c r="R643" s="16">
        <f t="shared" si="52"/>
        <v>269.01599999999996</v>
      </c>
      <c r="S643" s="15">
        <v>0</v>
      </c>
      <c r="T643" s="15">
        <v>0</v>
      </c>
      <c r="U643" s="17">
        <f t="shared" si="53"/>
        <v>269.01599999999996</v>
      </c>
      <c r="V643" s="12" t="s">
        <v>53</v>
      </c>
      <c r="W643" s="12">
        <v>80</v>
      </c>
    </row>
    <row r="644" spans="4:23" s="12" customFormat="1" ht="30.75" customHeight="1" thickTop="1" thickBot="1" x14ac:dyDescent="0.35">
      <c r="D644" s="10"/>
      <c r="G644" s="13">
        <f t="shared" ref="G644:G707" si="54">G643+1</f>
        <v>643</v>
      </c>
      <c r="H644" s="18">
        <v>45853</v>
      </c>
      <c r="I644" s="15" t="s">
        <v>25</v>
      </c>
      <c r="J644" s="15">
        <v>12001</v>
      </c>
      <c r="K644" s="15">
        <v>50</v>
      </c>
      <c r="L644" s="15">
        <v>9508.39</v>
      </c>
      <c r="M644" s="16">
        <f t="shared" si="50"/>
        <v>190.1678</v>
      </c>
      <c r="N644" s="15">
        <v>0</v>
      </c>
      <c r="O644" s="16">
        <f t="shared" si="51"/>
        <v>12001</v>
      </c>
      <c r="P644" s="15" t="s">
        <v>26</v>
      </c>
      <c r="Q644" s="15">
        <v>0.02</v>
      </c>
      <c r="R644" s="16">
        <f t="shared" si="52"/>
        <v>240.02</v>
      </c>
      <c r="S644" s="15">
        <v>0</v>
      </c>
      <c r="T644" s="15">
        <v>0</v>
      </c>
      <c r="U644" s="17">
        <f t="shared" si="53"/>
        <v>240.02</v>
      </c>
      <c r="V644" s="12" t="s">
        <v>53</v>
      </c>
      <c r="W644" s="12">
        <v>80</v>
      </c>
    </row>
    <row r="645" spans="4:23" s="12" customFormat="1" ht="30.75" customHeight="1" thickTop="1" thickBot="1" x14ac:dyDescent="0.35">
      <c r="D645" s="10"/>
      <c r="G645" s="13">
        <f t="shared" si="54"/>
        <v>644</v>
      </c>
      <c r="H645" s="18">
        <v>45857</v>
      </c>
      <c r="I645" s="15" t="s">
        <v>30</v>
      </c>
      <c r="J645" s="15">
        <v>92175</v>
      </c>
      <c r="K645" s="15">
        <v>300</v>
      </c>
      <c r="L645" s="15">
        <v>69499.95</v>
      </c>
      <c r="M645" s="16">
        <f t="shared" si="50"/>
        <v>231.66649999999998</v>
      </c>
      <c r="N645" s="15">
        <v>0</v>
      </c>
      <c r="O645" s="16">
        <f t="shared" si="51"/>
        <v>92175</v>
      </c>
      <c r="P645" s="15" t="s">
        <v>18</v>
      </c>
      <c r="Q645" s="15">
        <v>0.06</v>
      </c>
      <c r="R645" s="16">
        <f t="shared" si="52"/>
        <v>5530.5</v>
      </c>
      <c r="S645" s="15">
        <v>0</v>
      </c>
      <c r="T645" s="15">
        <v>0</v>
      </c>
      <c r="U645" s="17">
        <f t="shared" si="53"/>
        <v>5530.5</v>
      </c>
      <c r="V645" s="12" t="s">
        <v>53</v>
      </c>
      <c r="W645" s="12">
        <v>81</v>
      </c>
    </row>
    <row r="646" spans="4:23" s="12" customFormat="1" ht="30.75" customHeight="1" thickTop="1" thickBot="1" x14ac:dyDescent="0.35">
      <c r="D646" s="10"/>
      <c r="G646" s="13">
        <f t="shared" si="54"/>
        <v>645</v>
      </c>
      <c r="H646" s="18">
        <v>45857</v>
      </c>
      <c r="I646" s="15" t="s">
        <v>17</v>
      </c>
      <c r="J646" s="15">
        <v>153625</v>
      </c>
      <c r="K646" s="15">
        <v>500</v>
      </c>
      <c r="L646" s="15">
        <v>115833.25</v>
      </c>
      <c r="M646" s="16">
        <f t="shared" si="50"/>
        <v>231.66650000000001</v>
      </c>
      <c r="N646" s="15">
        <v>0</v>
      </c>
      <c r="O646" s="16">
        <f t="shared" si="51"/>
        <v>153625</v>
      </c>
      <c r="P646" s="15" t="s">
        <v>18</v>
      </c>
      <c r="Q646" s="15">
        <v>0.06</v>
      </c>
      <c r="R646" s="16">
        <f t="shared" si="52"/>
        <v>9217.5</v>
      </c>
      <c r="S646" s="15">
        <v>0</v>
      </c>
      <c r="T646" s="15">
        <v>0</v>
      </c>
      <c r="U646" s="17">
        <f t="shared" si="53"/>
        <v>9217.5</v>
      </c>
      <c r="V646" s="12" t="s">
        <v>53</v>
      </c>
      <c r="W646" s="12">
        <v>81</v>
      </c>
    </row>
    <row r="647" spans="4:23" s="12" customFormat="1" ht="30.75" customHeight="1" thickTop="1" thickBot="1" x14ac:dyDescent="0.35">
      <c r="D647" s="10"/>
      <c r="G647" s="13">
        <f t="shared" si="54"/>
        <v>646</v>
      </c>
      <c r="H647" s="18">
        <v>45857</v>
      </c>
      <c r="I647" s="15" t="s">
        <v>23</v>
      </c>
      <c r="J647" s="15">
        <v>45120</v>
      </c>
      <c r="K647" s="15">
        <v>235</v>
      </c>
      <c r="L647" s="15">
        <v>42412.800000000003</v>
      </c>
      <c r="M647" s="16">
        <f t="shared" si="50"/>
        <v>180.48000000000002</v>
      </c>
      <c r="N647" s="15">
        <v>0</v>
      </c>
      <c r="O647" s="16">
        <f t="shared" si="51"/>
        <v>45120</v>
      </c>
      <c r="P647" s="15" t="s">
        <v>18</v>
      </c>
      <c r="Q647" s="15">
        <v>0.06</v>
      </c>
      <c r="R647" s="16">
        <f t="shared" si="52"/>
        <v>2707.2</v>
      </c>
      <c r="S647" s="15">
        <v>0</v>
      </c>
      <c r="T647" s="15">
        <v>0</v>
      </c>
      <c r="U647" s="17">
        <f t="shared" si="53"/>
        <v>2707.2</v>
      </c>
      <c r="V647" s="12" t="s">
        <v>53</v>
      </c>
      <c r="W647" s="12">
        <v>81</v>
      </c>
    </row>
    <row r="648" spans="4:23" s="12" customFormat="1" ht="30.75" customHeight="1" thickTop="1" thickBot="1" x14ac:dyDescent="0.35">
      <c r="D648" s="10"/>
      <c r="G648" s="13">
        <f t="shared" si="54"/>
        <v>647</v>
      </c>
      <c r="H648" s="18">
        <v>45857</v>
      </c>
      <c r="I648" s="15" t="s">
        <v>45</v>
      </c>
      <c r="J648" s="15">
        <v>2970</v>
      </c>
      <c r="K648" s="15">
        <v>5</v>
      </c>
      <c r="L648" s="15">
        <v>2649.24</v>
      </c>
      <c r="M648" s="16">
        <f t="shared" si="50"/>
        <v>529.84799999999996</v>
      </c>
      <c r="N648" s="15">
        <v>0</v>
      </c>
      <c r="O648" s="16">
        <f t="shared" si="51"/>
        <v>2970</v>
      </c>
      <c r="P648" s="15" t="s">
        <v>33</v>
      </c>
      <c r="Q648" s="15">
        <v>0.01</v>
      </c>
      <c r="R648" s="16">
        <f t="shared" si="52"/>
        <v>29.7</v>
      </c>
      <c r="S648" s="15">
        <v>0</v>
      </c>
      <c r="T648" s="15">
        <v>0</v>
      </c>
      <c r="U648" s="17">
        <f t="shared" si="53"/>
        <v>29.7</v>
      </c>
      <c r="V648" s="12" t="s">
        <v>53</v>
      </c>
      <c r="W648" s="12">
        <v>81</v>
      </c>
    </row>
    <row r="649" spans="4:23" s="12" customFormat="1" ht="30.75" customHeight="1" thickTop="1" thickBot="1" x14ac:dyDescent="0.35">
      <c r="D649" s="10"/>
      <c r="G649" s="13">
        <f t="shared" si="54"/>
        <v>648</v>
      </c>
      <c r="H649" s="18">
        <v>45857</v>
      </c>
      <c r="I649" s="15" t="s">
        <v>47</v>
      </c>
      <c r="J649" s="15">
        <v>11163.6</v>
      </c>
      <c r="K649" s="15">
        <v>30</v>
      </c>
      <c r="L649" s="15">
        <v>10493.78</v>
      </c>
      <c r="M649" s="16">
        <f t="shared" si="50"/>
        <v>349.79266666666666</v>
      </c>
      <c r="N649" s="15">
        <v>0</v>
      </c>
      <c r="O649" s="16">
        <f t="shared" si="51"/>
        <v>11163.6</v>
      </c>
      <c r="P649" s="15" t="s">
        <v>26</v>
      </c>
      <c r="Q649" s="15">
        <v>0.02</v>
      </c>
      <c r="R649" s="16">
        <f t="shared" si="52"/>
        <v>223.27200000000002</v>
      </c>
      <c r="S649" s="15">
        <v>0</v>
      </c>
      <c r="T649" s="15">
        <v>0</v>
      </c>
      <c r="U649" s="17">
        <f t="shared" si="53"/>
        <v>223.27200000000002</v>
      </c>
      <c r="V649" s="12" t="s">
        <v>53</v>
      </c>
      <c r="W649" s="12">
        <v>81</v>
      </c>
    </row>
    <row r="650" spans="4:23" s="12" customFormat="1" ht="30.75" customHeight="1" thickTop="1" thickBot="1" x14ac:dyDescent="0.35">
      <c r="D650" s="10"/>
      <c r="G650" s="13">
        <f t="shared" si="54"/>
        <v>649</v>
      </c>
      <c r="H650" s="18">
        <v>45857</v>
      </c>
      <c r="I650" s="15" t="s">
        <v>41</v>
      </c>
      <c r="J650" s="15">
        <v>50440.5</v>
      </c>
      <c r="K650" s="15">
        <v>375</v>
      </c>
      <c r="L650" s="15">
        <v>41386.43</v>
      </c>
      <c r="M650" s="16">
        <f t="shared" si="50"/>
        <v>110.36381333333334</v>
      </c>
      <c r="N650" s="15">
        <v>0</v>
      </c>
      <c r="O650" s="16">
        <f t="shared" si="51"/>
        <v>50440.5</v>
      </c>
      <c r="P650" s="15" t="s">
        <v>26</v>
      </c>
      <c r="Q650" s="15">
        <v>0.02</v>
      </c>
      <c r="R650" s="16">
        <f t="shared" si="52"/>
        <v>1008.8100000000001</v>
      </c>
      <c r="S650" s="15">
        <v>0</v>
      </c>
      <c r="T650" s="15">
        <v>0</v>
      </c>
      <c r="U650" s="17">
        <f t="shared" si="53"/>
        <v>1008.8100000000001</v>
      </c>
      <c r="V650" s="12" t="s">
        <v>53</v>
      </c>
      <c r="W650" s="12">
        <v>81</v>
      </c>
    </row>
    <row r="651" spans="4:23" s="12" customFormat="1" ht="30.75" customHeight="1" thickTop="1" thickBot="1" x14ac:dyDescent="0.35">
      <c r="D651" s="10"/>
      <c r="G651" s="13">
        <f t="shared" si="54"/>
        <v>650</v>
      </c>
      <c r="H651" s="18">
        <v>45858</v>
      </c>
      <c r="I651" s="15" t="s">
        <v>27</v>
      </c>
      <c r="J651" s="15">
        <v>465.12</v>
      </c>
      <c r="K651" s="15">
        <v>1</v>
      </c>
      <c r="L651" s="15">
        <v>437.21</v>
      </c>
      <c r="M651" s="16">
        <f t="shared" si="50"/>
        <v>437.21</v>
      </c>
      <c r="N651" s="15">
        <v>0</v>
      </c>
      <c r="O651" s="16">
        <f t="shared" si="51"/>
        <v>465.12</v>
      </c>
      <c r="P651" s="15" t="s">
        <v>26</v>
      </c>
      <c r="Q651" s="15">
        <v>0.02</v>
      </c>
      <c r="R651" s="16">
        <f t="shared" si="52"/>
        <v>9.3024000000000004</v>
      </c>
      <c r="S651" s="15">
        <v>0</v>
      </c>
      <c r="T651" s="15">
        <v>0</v>
      </c>
      <c r="U651" s="17">
        <f t="shared" si="53"/>
        <v>9.3024000000000004</v>
      </c>
      <c r="V651" s="12" t="s">
        <v>53</v>
      </c>
      <c r="W651" s="12">
        <v>82</v>
      </c>
    </row>
    <row r="652" spans="4:23" s="12" customFormat="1" ht="30.75" customHeight="1" thickTop="1" thickBot="1" x14ac:dyDescent="0.35">
      <c r="D652" s="10"/>
      <c r="G652" s="13">
        <f t="shared" si="54"/>
        <v>651</v>
      </c>
      <c r="H652" s="18">
        <v>45858</v>
      </c>
      <c r="I652" s="15" t="s">
        <v>38</v>
      </c>
      <c r="J652" s="15">
        <v>465.12</v>
      </c>
      <c r="K652" s="15">
        <v>1</v>
      </c>
      <c r="L652" s="15">
        <v>437.21</v>
      </c>
      <c r="M652" s="16">
        <f t="shared" si="50"/>
        <v>437.21</v>
      </c>
      <c r="N652" s="15">
        <v>0</v>
      </c>
      <c r="O652" s="16">
        <f t="shared" si="51"/>
        <v>465.12</v>
      </c>
      <c r="P652" s="15" t="s">
        <v>26</v>
      </c>
      <c r="Q652" s="15">
        <v>0.02</v>
      </c>
      <c r="R652" s="16">
        <f t="shared" si="52"/>
        <v>9.3024000000000004</v>
      </c>
      <c r="S652" s="15">
        <v>0</v>
      </c>
      <c r="T652" s="15">
        <v>0</v>
      </c>
      <c r="U652" s="17">
        <f t="shared" si="53"/>
        <v>9.3024000000000004</v>
      </c>
      <c r="V652" s="12" t="s">
        <v>53</v>
      </c>
      <c r="W652" s="12">
        <v>82</v>
      </c>
    </row>
    <row r="653" spans="4:23" s="12" customFormat="1" ht="30.75" customHeight="1" thickTop="1" thickBot="1" x14ac:dyDescent="0.35">
      <c r="D653" s="10"/>
      <c r="G653" s="13">
        <f t="shared" si="54"/>
        <v>652</v>
      </c>
      <c r="H653" s="18">
        <v>45858</v>
      </c>
      <c r="I653" s="15" t="s">
        <v>30</v>
      </c>
      <c r="J653" s="15">
        <v>76812.5</v>
      </c>
      <c r="K653" s="15">
        <v>250</v>
      </c>
      <c r="L653" s="15">
        <v>57916.63</v>
      </c>
      <c r="M653" s="16">
        <f t="shared" si="50"/>
        <v>231.66651999999999</v>
      </c>
      <c r="N653" s="15">
        <v>0</v>
      </c>
      <c r="O653" s="16">
        <f t="shared" si="51"/>
        <v>76812.5</v>
      </c>
      <c r="P653" s="15" t="s">
        <v>18</v>
      </c>
      <c r="Q653" s="15">
        <v>0.06</v>
      </c>
      <c r="R653" s="16">
        <f t="shared" si="52"/>
        <v>4608.75</v>
      </c>
      <c r="S653" s="15">
        <v>0</v>
      </c>
      <c r="T653" s="15">
        <v>0</v>
      </c>
      <c r="U653" s="17">
        <f t="shared" si="53"/>
        <v>4608.75</v>
      </c>
      <c r="V653" s="12" t="s">
        <v>53</v>
      </c>
      <c r="W653" s="12">
        <v>82</v>
      </c>
    </row>
    <row r="654" spans="4:23" s="12" customFormat="1" ht="30.75" customHeight="1" thickTop="1" thickBot="1" x14ac:dyDescent="0.35">
      <c r="D654" s="10"/>
      <c r="G654" s="13">
        <f t="shared" si="54"/>
        <v>653</v>
      </c>
      <c r="H654" s="18">
        <v>45858</v>
      </c>
      <c r="I654" s="15" t="s">
        <v>17</v>
      </c>
      <c r="J654" s="15">
        <v>107537.5</v>
      </c>
      <c r="K654" s="15">
        <v>350</v>
      </c>
      <c r="L654" s="15">
        <v>81083.28</v>
      </c>
      <c r="M654" s="16">
        <f t="shared" si="50"/>
        <v>231.66651428571427</v>
      </c>
      <c r="N654" s="15">
        <v>0</v>
      </c>
      <c r="O654" s="16">
        <f t="shared" si="51"/>
        <v>107537.5</v>
      </c>
      <c r="P654" s="15" t="s">
        <v>18</v>
      </c>
      <c r="Q654" s="15">
        <v>0.06</v>
      </c>
      <c r="R654" s="16">
        <f t="shared" si="52"/>
        <v>6452.25</v>
      </c>
      <c r="S654" s="15">
        <v>0</v>
      </c>
      <c r="T654" s="15">
        <v>0</v>
      </c>
      <c r="U654" s="17">
        <f t="shared" si="53"/>
        <v>6452.25</v>
      </c>
      <c r="V654" s="12" t="s">
        <v>53</v>
      </c>
      <c r="W654" s="12">
        <v>82</v>
      </c>
    </row>
    <row r="655" spans="4:23" s="12" customFormat="1" ht="30.75" customHeight="1" thickTop="1" thickBot="1" x14ac:dyDescent="0.35">
      <c r="D655" s="10"/>
      <c r="G655" s="13">
        <f t="shared" si="54"/>
        <v>654</v>
      </c>
      <c r="H655" s="18">
        <v>45858</v>
      </c>
      <c r="I655" s="15" t="s">
        <v>35</v>
      </c>
      <c r="J655" s="15">
        <v>8760</v>
      </c>
      <c r="K655" s="15">
        <v>50</v>
      </c>
      <c r="L655" s="15">
        <v>8234.4</v>
      </c>
      <c r="M655" s="16">
        <f t="shared" si="50"/>
        <v>164.68799999999999</v>
      </c>
      <c r="N655" s="15">
        <v>0</v>
      </c>
      <c r="O655" s="16">
        <f t="shared" si="51"/>
        <v>8760</v>
      </c>
      <c r="P655" s="15" t="s">
        <v>18</v>
      </c>
      <c r="Q655" s="15">
        <v>0.06</v>
      </c>
      <c r="R655" s="16">
        <f t="shared" si="52"/>
        <v>525.6</v>
      </c>
      <c r="S655" s="15">
        <v>0</v>
      </c>
      <c r="T655" s="15">
        <v>0</v>
      </c>
      <c r="U655" s="17">
        <f t="shared" si="53"/>
        <v>525.6</v>
      </c>
      <c r="V655" s="12" t="s">
        <v>53</v>
      </c>
      <c r="W655" s="12">
        <v>82</v>
      </c>
    </row>
    <row r="656" spans="4:23" s="12" customFormat="1" ht="30.75" customHeight="1" thickTop="1" thickBot="1" x14ac:dyDescent="0.35">
      <c r="D656" s="10"/>
      <c r="G656" s="13">
        <f t="shared" si="54"/>
        <v>655</v>
      </c>
      <c r="H656" s="18">
        <v>45858</v>
      </c>
      <c r="I656" s="15" t="s">
        <v>21</v>
      </c>
      <c r="J656" s="15">
        <v>2472</v>
      </c>
      <c r="K656" s="15">
        <v>10</v>
      </c>
      <c r="L656" s="15">
        <v>2323.6799999999998</v>
      </c>
      <c r="M656" s="16">
        <f t="shared" si="50"/>
        <v>232.36799999999999</v>
      </c>
      <c r="N656" s="15">
        <v>0</v>
      </c>
      <c r="O656" s="16">
        <f t="shared" si="51"/>
        <v>2472</v>
      </c>
      <c r="P656" s="15" t="s">
        <v>18</v>
      </c>
      <c r="Q656" s="15">
        <v>0.06</v>
      </c>
      <c r="R656" s="16">
        <f t="shared" si="52"/>
        <v>148.32</v>
      </c>
      <c r="S656" s="15">
        <v>0</v>
      </c>
      <c r="T656" s="15">
        <v>0</v>
      </c>
      <c r="U656" s="17">
        <f t="shared" si="53"/>
        <v>148.32</v>
      </c>
      <c r="V656" s="12" t="s">
        <v>53</v>
      </c>
      <c r="W656" s="12">
        <v>82</v>
      </c>
    </row>
    <row r="657" spans="4:23" s="12" customFormat="1" ht="30.75" customHeight="1" thickTop="1" thickBot="1" x14ac:dyDescent="0.35">
      <c r="D657" s="10"/>
      <c r="G657" s="13">
        <f t="shared" si="54"/>
        <v>656</v>
      </c>
      <c r="H657" s="18">
        <v>45858</v>
      </c>
      <c r="I657" s="15" t="s">
        <v>22</v>
      </c>
      <c r="J657" s="15">
        <v>1615.5</v>
      </c>
      <c r="K657" s="15">
        <v>6</v>
      </c>
      <c r="L657" s="15">
        <v>1518.57</v>
      </c>
      <c r="M657" s="16">
        <f t="shared" si="50"/>
        <v>253.095</v>
      </c>
      <c r="N657" s="15">
        <v>0</v>
      </c>
      <c r="O657" s="16">
        <f t="shared" si="51"/>
        <v>1615.5</v>
      </c>
      <c r="P657" s="15" t="s">
        <v>18</v>
      </c>
      <c r="Q657" s="15">
        <v>0.06</v>
      </c>
      <c r="R657" s="16">
        <f t="shared" si="52"/>
        <v>96.929999999999993</v>
      </c>
      <c r="S657" s="15">
        <v>0</v>
      </c>
      <c r="T657" s="15">
        <v>0</v>
      </c>
      <c r="U657" s="17">
        <f t="shared" si="53"/>
        <v>96.929999999999993</v>
      </c>
      <c r="V657" s="12" t="s">
        <v>53</v>
      </c>
      <c r="W657" s="12">
        <v>82</v>
      </c>
    </row>
    <row r="658" spans="4:23" s="12" customFormat="1" ht="30.75" customHeight="1" thickTop="1" thickBot="1" x14ac:dyDescent="0.35">
      <c r="D658" s="10"/>
      <c r="G658" s="13">
        <f t="shared" si="54"/>
        <v>657</v>
      </c>
      <c r="H658" s="18">
        <v>45858</v>
      </c>
      <c r="I658" s="15" t="s">
        <v>23</v>
      </c>
      <c r="J658" s="15">
        <v>48000</v>
      </c>
      <c r="K658" s="15">
        <v>250</v>
      </c>
      <c r="L658" s="15">
        <v>45120</v>
      </c>
      <c r="M658" s="16">
        <f t="shared" si="50"/>
        <v>180.48</v>
      </c>
      <c r="N658" s="15">
        <v>0</v>
      </c>
      <c r="O658" s="16">
        <f t="shared" si="51"/>
        <v>48000</v>
      </c>
      <c r="P658" s="15" t="s">
        <v>18</v>
      </c>
      <c r="Q658" s="15">
        <v>0.06</v>
      </c>
      <c r="R658" s="16">
        <f t="shared" si="52"/>
        <v>2880</v>
      </c>
      <c r="S658" s="15">
        <v>0</v>
      </c>
      <c r="T658" s="15">
        <v>0</v>
      </c>
      <c r="U658" s="17">
        <f t="shared" si="53"/>
        <v>2880</v>
      </c>
      <c r="V658" s="12" t="s">
        <v>53</v>
      </c>
      <c r="W658" s="12">
        <v>82</v>
      </c>
    </row>
    <row r="659" spans="4:23" s="12" customFormat="1" ht="30.75" customHeight="1" thickTop="1" thickBot="1" x14ac:dyDescent="0.35">
      <c r="D659" s="10"/>
      <c r="G659" s="13">
        <f t="shared" si="54"/>
        <v>658</v>
      </c>
      <c r="H659" s="18">
        <v>45858</v>
      </c>
      <c r="I659" s="15" t="s">
        <v>31</v>
      </c>
      <c r="J659" s="15">
        <v>7680</v>
      </c>
      <c r="K659" s="15">
        <v>40</v>
      </c>
      <c r="L659" s="15">
        <v>7219.2</v>
      </c>
      <c r="M659" s="16">
        <f t="shared" si="50"/>
        <v>180.48</v>
      </c>
      <c r="N659" s="15">
        <v>0</v>
      </c>
      <c r="O659" s="16">
        <f t="shared" si="51"/>
        <v>7680</v>
      </c>
      <c r="P659" s="15" t="s">
        <v>18</v>
      </c>
      <c r="Q659" s="15">
        <v>0.06</v>
      </c>
      <c r="R659" s="16">
        <f t="shared" si="52"/>
        <v>460.79999999999995</v>
      </c>
      <c r="S659" s="15">
        <v>0</v>
      </c>
      <c r="T659" s="15">
        <v>0</v>
      </c>
      <c r="U659" s="17">
        <f t="shared" si="53"/>
        <v>460.79999999999995</v>
      </c>
      <c r="V659" s="12" t="s">
        <v>53</v>
      </c>
      <c r="W659" s="12">
        <v>82</v>
      </c>
    </row>
    <row r="660" spans="4:23" s="12" customFormat="1" ht="30.75" customHeight="1" thickTop="1" thickBot="1" x14ac:dyDescent="0.35">
      <c r="D660" s="10"/>
      <c r="G660" s="13">
        <f t="shared" si="54"/>
        <v>659</v>
      </c>
      <c r="H660" s="18">
        <v>45861</v>
      </c>
      <c r="I660" s="15" t="s">
        <v>45</v>
      </c>
      <c r="J660" s="15">
        <v>2970</v>
      </c>
      <c r="K660" s="15">
        <v>5</v>
      </c>
      <c r="L660" s="15">
        <v>2738.34</v>
      </c>
      <c r="M660" s="16">
        <f t="shared" si="50"/>
        <v>547.66800000000001</v>
      </c>
      <c r="N660" s="15">
        <v>0</v>
      </c>
      <c r="O660" s="16">
        <f t="shared" si="51"/>
        <v>2970</v>
      </c>
      <c r="P660" s="15" t="s">
        <v>33</v>
      </c>
      <c r="Q660" s="15">
        <v>0.01</v>
      </c>
      <c r="R660" s="16">
        <f t="shared" si="52"/>
        <v>29.7</v>
      </c>
      <c r="S660" s="15">
        <v>0</v>
      </c>
      <c r="T660" s="15">
        <v>0</v>
      </c>
      <c r="U660" s="17">
        <f t="shared" si="53"/>
        <v>29.7</v>
      </c>
      <c r="V660" s="12" t="s">
        <v>53</v>
      </c>
      <c r="W660" s="12">
        <v>83</v>
      </c>
    </row>
    <row r="661" spans="4:23" s="12" customFormat="1" ht="30.75" customHeight="1" thickTop="1" thickBot="1" x14ac:dyDescent="0.35">
      <c r="D661" s="10"/>
      <c r="G661" s="13">
        <f t="shared" si="54"/>
        <v>660</v>
      </c>
      <c r="H661" s="18">
        <v>45861</v>
      </c>
      <c r="I661" s="15" t="s">
        <v>25</v>
      </c>
      <c r="J661" s="15">
        <v>156013</v>
      </c>
      <c r="K661" s="15">
        <v>650</v>
      </c>
      <c r="L661" s="15">
        <v>123609.1</v>
      </c>
      <c r="M661" s="16">
        <f t="shared" si="50"/>
        <v>190.16784615384617</v>
      </c>
      <c r="N661" s="15">
        <v>0</v>
      </c>
      <c r="O661" s="16">
        <f t="shared" si="51"/>
        <v>156013</v>
      </c>
      <c r="P661" s="15" t="s">
        <v>26</v>
      </c>
      <c r="Q661" s="15">
        <v>0.02</v>
      </c>
      <c r="R661" s="16">
        <f t="shared" si="52"/>
        <v>3120.26</v>
      </c>
      <c r="S661" s="15">
        <v>0</v>
      </c>
      <c r="T661" s="15">
        <v>0</v>
      </c>
      <c r="U661" s="17">
        <f t="shared" si="53"/>
        <v>3120.26</v>
      </c>
      <c r="V661" s="12" t="s">
        <v>53</v>
      </c>
      <c r="W661" s="12">
        <v>83</v>
      </c>
    </row>
    <row r="662" spans="4:23" s="12" customFormat="1" ht="30.75" customHeight="1" thickTop="1" thickBot="1" x14ac:dyDescent="0.35">
      <c r="D662" s="10"/>
      <c r="G662" s="13">
        <f t="shared" si="54"/>
        <v>661</v>
      </c>
      <c r="H662" s="18">
        <v>45861</v>
      </c>
      <c r="I662" s="15" t="s">
        <v>30</v>
      </c>
      <c r="J662" s="15">
        <v>46087.5</v>
      </c>
      <c r="K662" s="15">
        <v>150</v>
      </c>
      <c r="L662" s="15">
        <v>34749.980000000003</v>
      </c>
      <c r="M662" s="16">
        <f t="shared" si="50"/>
        <v>231.66653333333335</v>
      </c>
      <c r="N662" s="15">
        <v>0</v>
      </c>
      <c r="O662" s="16">
        <f t="shared" si="51"/>
        <v>46087.5</v>
      </c>
      <c r="P662" s="15" t="s">
        <v>18</v>
      </c>
      <c r="Q662" s="15">
        <v>0.06</v>
      </c>
      <c r="R662" s="16">
        <f t="shared" si="52"/>
        <v>2765.25</v>
      </c>
      <c r="S662" s="15">
        <v>0</v>
      </c>
      <c r="T662" s="15">
        <v>0</v>
      </c>
      <c r="U662" s="17">
        <f t="shared" si="53"/>
        <v>2765.25</v>
      </c>
      <c r="V662" s="12" t="s">
        <v>53</v>
      </c>
      <c r="W662" s="12">
        <v>83</v>
      </c>
    </row>
    <row r="663" spans="4:23" s="12" customFormat="1" ht="30.75" customHeight="1" thickTop="1" thickBot="1" x14ac:dyDescent="0.35">
      <c r="D663" s="10"/>
      <c r="G663" s="13">
        <f t="shared" si="54"/>
        <v>662</v>
      </c>
      <c r="H663" s="18">
        <v>45861</v>
      </c>
      <c r="I663" s="15" t="s">
        <v>17</v>
      </c>
      <c r="J663" s="15">
        <v>46087.5</v>
      </c>
      <c r="K663" s="15">
        <v>150</v>
      </c>
      <c r="L663" s="15">
        <v>34749.980000000003</v>
      </c>
      <c r="M663" s="16">
        <f t="shared" si="50"/>
        <v>231.66653333333335</v>
      </c>
      <c r="N663" s="15">
        <v>0</v>
      </c>
      <c r="O663" s="16">
        <f t="shared" si="51"/>
        <v>46087.5</v>
      </c>
      <c r="P663" s="15" t="s">
        <v>18</v>
      </c>
      <c r="Q663" s="15">
        <v>0.06</v>
      </c>
      <c r="R663" s="16">
        <f t="shared" si="52"/>
        <v>2765.25</v>
      </c>
      <c r="S663" s="15">
        <v>0</v>
      </c>
      <c r="T663" s="15">
        <v>0</v>
      </c>
      <c r="U663" s="17">
        <f t="shared" si="53"/>
        <v>2765.25</v>
      </c>
      <c r="V663" s="12" t="s">
        <v>53</v>
      </c>
      <c r="W663" s="12">
        <v>83</v>
      </c>
    </row>
    <row r="664" spans="4:23" s="12" customFormat="1" ht="30.75" customHeight="1" thickTop="1" thickBot="1" x14ac:dyDescent="0.35">
      <c r="D664" s="10"/>
      <c r="G664" s="13">
        <f t="shared" si="54"/>
        <v>663</v>
      </c>
      <c r="H664" s="18">
        <v>45861</v>
      </c>
      <c r="I664" s="15" t="s">
        <v>35</v>
      </c>
      <c r="J664" s="15">
        <v>5256</v>
      </c>
      <c r="K664" s="15">
        <v>30</v>
      </c>
      <c r="L664" s="15">
        <v>4940.6400000000003</v>
      </c>
      <c r="M664" s="16">
        <f t="shared" si="50"/>
        <v>164.68800000000002</v>
      </c>
      <c r="N664" s="15">
        <v>0</v>
      </c>
      <c r="O664" s="16">
        <f t="shared" si="51"/>
        <v>5256</v>
      </c>
      <c r="P664" s="15" t="s">
        <v>18</v>
      </c>
      <c r="Q664" s="15">
        <v>0.06</v>
      </c>
      <c r="R664" s="16">
        <f t="shared" si="52"/>
        <v>315.36</v>
      </c>
      <c r="S664" s="15">
        <v>0</v>
      </c>
      <c r="T664" s="15">
        <v>0</v>
      </c>
      <c r="U664" s="17">
        <f t="shared" si="53"/>
        <v>315.36</v>
      </c>
      <c r="V664" s="12" t="s">
        <v>53</v>
      </c>
      <c r="W664" s="12">
        <v>83</v>
      </c>
    </row>
    <row r="665" spans="4:23" s="12" customFormat="1" ht="30.75" customHeight="1" thickTop="1" thickBot="1" x14ac:dyDescent="0.35">
      <c r="D665" s="10"/>
      <c r="G665" s="13">
        <f t="shared" si="54"/>
        <v>664</v>
      </c>
      <c r="H665" s="18">
        <v>45861</v>
      </c>
      <c r="I665" s="15" t="s">
        <v>21</v>
      </c>
      <c r="J665" s="15">
        <v>3708</v>
      </c>
      <c r="K665" s="15">
        <v>15</v>
      </c>
      <c r="L665" s="15">
        <v>3485.52</v>
      </c>
      <c r="M665" s="16">
        <f t="shared" si="50"/>
        <v>232.36799999999999</v>
      </c>
      <c r="N665" s="15">
        <v>0</v>
      </c>
      <c r="O665" s="16">
        <f t="shared" si="51"/>
        <v>3708</v>
      </c>
      <c r="P665" s="15" t="s">
        <v>18</v>
      </c>
      <c r="Q665" s="15">
        <v>0.06</v>
      </c>
      <c r="R665" s="16">
        <f t="shared" si="52"/>
        <v>222.48</v>
      </c>
      <c r="S665" s="15">
        <v>0</v>
      </c>
      <c r="T665" s="15">
        <v>0</v>
      </c>
      <c r="U665" s="17">
        <f t="shared" si="53"/>
        <v>222.48</v>
      </c>
      <c r="V665" s="12" t="s">
        <v>53</v>
      </c>
      <c r="W665" s="12">
        <v>83</v>
      </c>
    </row>
    <row r="666" spans="4:23" s="12" customFormat="1" ht="30.75" customHeight="1" thickTop="1" thickBot="1" x14ac:dyDescent="0.35">
      <c r="D666" s="10"/>
      <c r="G666" s="13">
        <f t="shared" si="54"/>
        <v>665</v>
      </c>
      <c r="H666" s="18">
        <v>45861</v>
      </c>
      <c r="I666" s="15" t="s">
        <v>23</v>
      </c>
      <c r="J666" s="15">
        <v>38400</v>
      </c>
      <c r="K666" s="15">
        <v>200</v>
      </c>
      <c r="L666" s="15">
        <v>36096</v>
      </c>
      <c r="M666" s="16">
        <f t="shared" si="50"/>
        <v>180.48</v>
      </c>
      <c r="N666" s="15">
        <v>0</v>
      </c>
      <c r="O666" s="16">
        <f t="shared" si="51"/>
        <v>38400</v>
      </c>
      <c r="P666" s="15" t="s">
        <v>18</v>
      </c>
      <c r="Q666" s="15">
        <v>0.06</v>
      </c>
      <c r="R666" s="16">
        <f t="shared" si="52"/>
        <v>2304</v>
      </c>
      <c r="S666" s="15">
        <v>13200</v>
      </c>
      <c r="T666" s="15">
        <v>0</v>
      </c>
      <c r="U666" s="17">
        <f t="shared" si="53"/>
        <v>15504</v>
      </c>
      <c r="V666" s="12" t="s">
        <v>53</v>
      </c>
      <c r="W666" s="12">
        <v>83</v>
      </c>
    </row>
    <row r="667" spans="4:23" s="12" customFormat="1" ht="30.75" customHeight="1" thickTop="1" thickBot="1" x14ac:dyDescent="0.35">
      <c r="D667" s="10"/>
      <c r="G667" s="13">
        <f t="shared" si="54"/>
        <v>666</v>
      </c>
      <c r="H667" s="18">
        <v>45861</v>
      </c>
      <c r="I667" s="15" t="s">
        <v>24</v>
      </c>
      <c r="J667" s="15">
        <v>8126</v>
      </c>
      <c r="K667" s="15">
        <v>25</v>
      </c>
      <c r="L667" s="15">
        <v>7638.44</v>
      </c>
      <c r="M667" s="16">
        <f t="shared" si="50"/>
        <v>305.5376</v>
      </c>
      <c r="N667" s="15">
        <v>0</v>
      </c>
      <c r="O667" s="16">
        <f t="shared" si="51"/>
        <v>8126</v>
      </c>
      <c r="P667" s="15" t="s">
        <v>18</v>
      </c>
      <c r="Q667" s="15">
        <v>0.06</v>
      </c>
      <c r="R667" s="16">
        <f t="shared" si="52"/>
        <v>487.56</v>
      </c>
      <c r="S667" s="15">
        <v>-3293</v>
      </c>
      <c r="T667" s="15">
        <v>0</v>
      </c>
      <c r="U667" s="17">
        <f t="shared" si="53"/>
        <v>-2805.44</v>
      </c>
      <c r="V667" s="12" t="s">
        <v>53</v>
      </c>
      <c r="W667" s="12">
        <v>83</v>
      </c>
    </row>
    <row r="668" spans="4:23" s="10" customFormat="1" ht="30.75" customHeight="1" thickTop="1" thickBot="1" x14ac:dyDescent="0.35">
      <c r="G668" s="25">
        <f t="shared" si="54"/>
        <v>667</v>
      </c>
      <c r="H668" s="26">
        <v>45861</v>
      </c>
      <c r="I668" s="16" t="s">
        <v>31</v>
      </c>
      <c r="J668" s="16">
        <v>5760</v>
      </c>
      <c r="K668" s="16">
        <v>30</v>
      </c>
      <c r="L668" s="16">
        <v>5414.4</v>
      </c>
      <c r="M668" s="16">
        <f t="shared" si="50"/>
        <v>180.48</v>
      </c>
      <c r="N668" s="15">
        <v>0</v>
      </c>
      <c r="O668" s="16">
        <f t="shared" si="51"/>
        <v>5760</v>
      </c>
      <c r="P668" s="15" t="s">
        <v>18</v>
      </c>
      <c r="Q668" s="15">
        <v>0.06</v>
      </c>
      <c r="R668" s="16">
        <f t="shared" si="52"/>
        <v>345.59999999999997</v>
      </c>
      <c r="S668" s="15">
        <v>0</v>
      </c>
      <c r="T668" s="15">
        <v>0</v>
      </c>
      <c r="U668" s="17">
        <f t="shared" si="53"/>
        <v>345.59999999999997</v>
      </c>
      <c r="V668" s="12" t="s">
        <v>53</v>
      </c>
      <c r="W668" s="12">
        <v>83</v>
      </c>
    </row>
    <row r="669" spans="4:23" s="12" customFormat="1" ht="30.75" customHeight="1" thickTop="1" thickBot="1" x14ac:dyDescent="0.35">
      <c r="D669" s="10"/>
      <c r="G669" s="13">
        <f t="shared" si="54"/>
        <v>668</v>
      </c>
      <c r="H669" s="18">
        <v>45864</v>
      </c>
      <c r="I669" s="15" t="s">
        <v>25</v>
      </c>
      <c r="J669" s="15">
        <v>36003</v>
      </c>
      <c r="K669" s="15">
        <v>150</v>
      </c>
      <c r="L669" s="15">
        <v>28525.18</v>
      </c>
      <c r="M669" s="16">
        <f t="shared" si="50"/>
        <v>190.16786666666667</v>
      </c>
      <c r="N669" s="15">
        <v>0</v>
      </c>
      <c r="O669" s="16">
        <f t="shared" si="51"/>
        <v>36003</v>
      </c>
      <c r="P669" s="15" t="s">
        <v>26</v>
      </c>
      <c r="Q669" s="15">
        <v>0.02</v>
      </c>
      <c r="R669" s="16">
        <f t="shared" si="52"/>
        <v>720.06000000000006</v>
      </c>
      <c r="S669" s="15">
        <v>0</v>
      </c>
      <c r="T669" s="15">
        <v>0</v>
      </c>
      <c r="U669" s="17">
        <f t="shared" si="53"/>
        <v>720.06000000000006</v>
      </c>
      <c r="V669" s="12" t="s">
        <v>54</v>
      </c>
      <c r="W669" s="12">
        <v>84</v>
      </c>
    </row>
    <row r="670" spans="4:23" s="12" customFormat="1" ht="30.75" customHeight="1" thickTop="1" thickBot="1" x14ac:dyDescent="0.35">
      <c r="D670" s="10"/>
      <c r="G670" s="13">
        <f t="shared" si="54"/>
        <v>669</v>
      </c>
      <c r="H670" s="18">
        <v>45864</v>
      </c>
      <c r="I670" s="15" t="s">
        <v>41</v>
      </c>
      <c r="J670" s="15">
        <v>47077.8</v>
      </c>
      <c r="K670" s="15">
        <v>350</v>
      </c>
      <c r="L670" s="15">
        <v>38627.33</v>
      </c>
      <c r="M670" s="16">
        <f t="shared" si="50"/>
        <v>110.36380000000001</v>
      </c>
      <c r="N670" s="15">
        <v>0</v>
      </c>
      <c r="O670" s="16">
        <f t="shared" si="51"/>
        <v>47077.8</v>
      </c>
      <c r="P670" s="15" t="s">
        <v>26</v>
      </c>
      <c r="Q670" s="15">
        <v>0.02</v>
      </c>
      <c r="R670" s="16">
        <f t="shared" si="52"/>
        <v>941.55600000000004</v>
      </c>
      <c r="S670" s="15">
        <v>0</v>
      </c>
      <c r="T670" s="15">
        <v>0</v>
      </c>
      <c r="U670" s="17">
        <f t="shared" si="53"/>
        <v>941.55600000000004</v>
      </c>
      <c r="V670" s="12" t="s">
        <v>54</v>
      </c>
      <c r="W670" s="12">
        <v>84</v>
      </c>
    </row>
    <row r="671" spans="4:23" s="12" customFormat="1" ht="30.75" customHeight="1" thickTop="1" thickBot="1" x14ac:dyDescent="0.35">
      <c r="D671" s="10"/>
      <c r="G671" s="13">
        <f t="shared" si="54"/>
        <v>670</v>
      </c>
      <c r="H671" s="18">
        <v>45864</v>
      </c>
      <c r="I671" s="15" t="s">
        <v>37</v>
      </c>
      <c r="J671" s="15">
        <v>52515</v>
      </c>
      <c r="K671" s="15">
        <v>100</v>
      </c>
      <c r="L671" s="15">
        <v>51202.13</v>
      </c>
      <c r="M671" s="16">
        <f t="shared" si="50"/>
        <v>512.0213</v>
      </c>
      <c r="N671" s="15">
        <v>0</v>
      </c>
      <c r="O671" s="16">
        <f t="shared" si="51"/>
        <v>52515</v>
      </c>
      <c r="P671" s="15" t="s">
        <v>29</v>
      </c>
      <c r="Q671" s="15">
        <v>0.02</v>
      </c>
      <c r="R671" s="16">
        <f t="shared" si="52"/>
        <v>1050.3</v>
      </c>
      <c r="S671" s="15">
        <v>0</v>
      </c>
      <c r="T671" s="15">
        <v>0</v>
      </c>
      <c r="U671" s="17">
        <f t="shared" si="53"/>
        <v>1050.3</v>
      </c>
      <c r="V671" s="12" t="s">
        <v>54</v>
      </c>
      <c r="W671" s="12">
        <v>84</v>
      </c>
    </row>
    <row r="672" spans="4:23" s="12" customFormat="1" ht="30.75" customHeight="1" thickTop="1" thickBot="1" x14ac:dyDescent="0.35">
      <c r="D672" s="10"/>
      <c r="G672" s="13">
        <f t="shared" si="54"/>
        <v>671</v>
      </c>
      <c r="H672" s="18">
        <v>45864</v>
      </c>
      <c r="I672" s="15" t="s">
        <v>28</v>
      </c>
      <c r="J672" s="15">
        <v>52515</v>
      </c>
      <c r="K672" s="15">
        <v>100</v>
      </c>
      <c r="L672" s="15">
        <v>51202.13</v>
      </c>
      <c r="M672" s="16">
        <f t="shared" si="50"/>
        <v>512.0213</v>
      </c>
      <c r="N672" s="15">
        <v>0</v>
      </c>
      <c r="O672" s="16">
        <f t="shared" si="51"/>
        <v>52515</v>
      </c>
      <c r="P672" s="15" t="s">
        <v>29</v>
      </c>
      <c r="Q672" s="15">
        <v>0.02</v>
      </c>
      <c r="R672" s="16">
        <f t="shared" si="52"/>
        <v>1050.3</v>
      </c>
      <c r="S672" s="15">
        <v>0</v>
      </c>
      <c r="T672" s="15">
        <v>0</v>
      </c>
      <c r="U672" s="17">
        <f t="shared" si="53"/>
        <v>1050.3</v>
      </c>
      <c r="V672" s="12" t="s">
        <v>54</v>
      </c>
      <c r="W672" s="12">
        <v>84</v>
      </c>
    </row>
    <row r="673" spans="4:23" s="12" customFormat="1" ht="30.75" customHeight="1" thickTop="1" thickBot="1" x14ac:dyDescent="0.35">
      <c r="D673" s="10"/>
      <c r="G673" s="13">
        <f t="shared" si="54"/>
        <v>672</v>
      </c>
      <c r="H673" s="18">
        <v>45864</v>
      </c>
      <c r="I673" s="15" t="s">
        <v>30</v>
      </c>
      <c r="J673" s="15">
        <v>30725</v>
      </c>
      <c r="K673" s="15">
        <v>100</v>
      </c>
      <c r="L673" s="15">
        <v>23166.65</v>
      </c>
      <c r="M673" s="16">
        <f t="shared" si="50"/>
        <v>231.66650000000001</v>
      </c>
      <c r="N673" s="15">
        <v>0</v>
      </c>
      <c r="O673" s="16">
        <f t="shared" si="51"/>
        <v>30725</v>
      </c>
      <c r="P673" s="15" t="s">
        <v>18</v>
      </c>
      <c r="Q673" s="15">
        <v>0.06</v>
      </c>
      <c r="R673" s="16">
        <f t="shared" si="52"/>
        <v>1843.5</v>
      </c>
      <c r="S673" s="15">
        <v>0</v>
      </c>
      <c r="T673" s="15">
        <v>0</v>
      </c>
      <c r="U673" s="17">
        <f t="shared" si="53"/>
        <v>1843.5</v>
      </c>
      <c r="V673" s="12" t="s">
        <v>54</v>
      </c>
      <c r="W673" s="12">
        <v>84</v>
      </c>
    </row>
    <row r="674" spans="4:23" s="12" customFormat="1" ht="30.75" customHeight="1" thickTop="1" thickBot="1" x14ac:dyDescent="0.35">
      <c r="D674" s="10"/>
      <c r="G674" s="13">
        <f t="shared" si="54"/>
        <v>673</v>
      </c>
      <c r="H674" s="18">
        <v>45864</v>
      </c>
      <c r="I674" s="15" t="s">
        <v>17</v>
      </c>
      <c r="J674" s="15">
        <v>61450</v>
      </c>
      <c r="K674" s="15">
        <v>200</v>
      </c>
      <c r="L674" s="15">
        <v>46333.3</v>
      </c>
      <c r="M674" s="16">
        <f t="shared" si="50"/>
        <v>231.66650000000001</v>
      </c>
      <c r="N674" s="15">
        <v>0</v>
      </c>
      <c r="O674" s="16">
        <f t="shared" si="51"/>
        <v>61450</v>
      </c>
      <c r="P674" s="15" t="s">
        <v>18</v>
      </c>
      <c r="Q674" s="15">
        <v>0.06</v>
      </c>
      <c r="R674" s="16">
        <f t="shared" si="52"/>
        <v>3687</v>
      </c>
      <c r="S674" s="15">
        <v>0</v>
      </c>
      <c r="T674" s="15">
        <v>0</v>
      </c>
      <c r="U674" s="17">
        <f t="shared" si="53"/>
        <v>3687</v>
      </c>
      <c r="V674" s="12" t="s">
        <v>54</v>
      </c>
      <c r="W674" s="12">
        <v>84</v>
      </c>
    </row>
    <row r="675" spans="4:23" s="12" customFormat="1" ht="30.75" customHeight="1" thickTop="1" thickBot="1" x14ac:dyDescent="0.35">
      <c r="D675" s="10"/>
      <c r="G675" s="13">
        <f t="shared" si="54"/>
        <v>674</v>
      </c>
      <c r="H675" s="18">
        <v>45864</v>
      </c>
      <c r="I675" s="15" t="s">
        <v>35</v>
      </c>
      <c r="J675" s="15">
        <v>876</v>
      </c>
      <c r="K675" s="15">
        <v>5</v>
      </c>
      <c r="L675" s="15">
        <v>823.44</v>
      </c>
      <c r="M675" s="16">
        <f t="shared" si="50"/>
        <v>164.68800000000002</v>
      </c>
      <c r="N675" s="15">
        <v>0</v>
      </c>
      <c r="O675" s="16">
        <f t="shared" si="51"/>
        <v>876</v>
      </c>
      <c r="P675" s="15" t="s">
        <v>18</v>
      </c>
      <c r="Q675" s="15">
        <v>0.06</v>
      </c>
      <c r="R675" s="16">
        <f t="shared" si="52"/>
        <v>52.559999999999995</v>
      </c>
      <c r="S675" s="15">
        <v>0</v>
      </c>
      <c r="T675" s="15">
        <v>0</v>
      </c>
      <c r="U675" s="17">
        <f t="shared" si="53"/>
        <v>52.559999999999995</v>
      </c>
      <c r="V675" s="12" t="s">
        <v>54</v>
      </c>
      <c r="W675" s="12">
        <v>84</v>
      </c>
    </row>
    <row r="676" spans="4:23" s="12" customFormat="1" ht="30.75" customHeight="1" thickTop="1" thickBot="1" x14ac:dyDescent="0.35">
      <c r="D676" s="10"/>
      <c r="G676" s="13">
        <f t="shared" si="54"/>
        <v>675</v>
      </c>
      <c r="H676" s="18">
        <v>45864</v>
      </c>
      <c r="I676" s="36" t="s">
        <v>20</v>
      </c>
      <c r="J676" s="15">
        <v>936</v>
      </c>
      <c r="K676" s="15">
        <v>3</v>
      </c>
      <c r="L676" s="15">
        <v>879.84</v>
      </c>
      <c r="M676" s="16">
        <f t="shared" si="50"/>
        <v>293.28000000000003</v>
      </c>
      <c r="N676" s="15">
        <v>0</v>
      </c>
      <c r="O676" s="16">
        <f t="shared" si="51"/>
        <v>936</v>
      </c>
      <c r="P676" s="15" t="s">
        <v>18</v>
      </c>
      <c r="Q676" s="15">
        <v>0.06</v>
      </c>
      <c r="R676" s="16">
        <f t="shared" si="52"/>
        <v>56.16</v>
      </c>
      <c r="S676" s="15">
        <v>0</v>
      </c>
      <c r="T676" s="15">
        <v>0</v>
      </c>
      <c r="U676" s="17">
        <f t="shared" si="53"/>
        <v>56.16</v>
      </c>
      <c r="V676" s="12" t="s">
        <v>54</v>
      </c>
      <c r="W676" s="12">
        <v>84</v>
      </c>
    </row>
    <row r="677" spans="4:23" s="12" customFormat="1" ht="30.75" customHeight="1" thickTop="1" thickBot="1" x14ac:dyDescent="0.35">
      <c r="D677" s="10"/>
      <c r="G677" s="13">
        <f t="shared" si="54"/>
        <v>676</v>
      </c>
      <c r="H677" s="18">
        <v>45864</v>
      </c>
      <c r="I677" s="15" t="s">
        <v>21</v>
      </c>
      <c r="J677" s="15">
        <v>1236</v>
      </c>
      <c r="K677" s="15">
        <v>5</v>
      </c>
      <c r="L677" s="15">
        <v>1161.8399999999999</v>
      </c>
      <c r="M677" s="16">
        <f t="shared" si="50"/>
        <v>232.36799999999999</v>
      </c>
      <c r="N677" s="15">
        <v>0</v>
      </c>
      <c r="O677" s="16">
        <f t="shared" si="51"/>
        <v>1236</v>
      </c>
      <c r="P677" s="15" t="s">
        <v>18</v>
      </c>
      <c r="Q677" s="15">
        <v>0.06</v>
      </c>
      <c r="R677" s="16">
        <f t="shared" si="52"/>
        <v>74.16</v>
      </c>
      <c r="S677" s="15">
        <v>0</v>
      </c>
      <c r="T677" s="15">
        <v>0</v>
      </c>
      <c r="U677" s="17">
        <f t="shared" si="53"/>
        <v>74.16</v>
      </c>
      <c r="V677" s="12" t="s">
        <v>54</v>
      </c>
      <c r="W677" s="12">
        <v>84</v>
      </c>
    </row>
    <row r="678" spans="4:23" s="12" customFormat="1" ht="30.75" customHeight="1" thickTop="1" thickBot="1" x14ac:dyDescent="0.35">
      <c r="D678" s="10"/>
      <c r="G678" s="13">
        <f t="shared" si="54"/>
        <v>677</v>
      </c>
      <c r="H678" s="18">
        <v>45864</v>
      </c>
      <c r="I678" s="15" t="s">
        <v>22</v>
      </c>
      <c r="J678" s="15">
        <v>1346.25</v>
      </c>
      <c r="K678" s="15">
        <v>5</v>
      </c>
      <c r="L678" s="15">
        <v>1265.48</v>
      </c>
      <c r="M678" s="16">
        <f t="shared" si="50"/>
        <v>253.096</v>
      </c>
      <c r="N678" s="15">
        <v>0</v>
      </c>
      <c r="O678" s="16">
        <f t="shared" si="51"/>
        <v>1346.25</v>
      </c>
      <c r="P678" s="15" t="s">
        <v>18</v>
      </c>
      <c r="Q678" s="15">
        <v>0.06</v>
      </c>
      <c r="R678" s="16">
        <f t="shared" si="52"/>
        <v>80.774999999999991</v>
      </c>
      <c r="S678" s="15">
        <v>0</v>
      </c>
      <c r="T678" s="15">
        <v>0</v>
      </c>
      <c r="U678" s="17">
        <f t="shared" si="53"/>
        <v>80.774999999999991</v>
      </c>
      <c r="V678" s="12" t="s">
        <v>54</v>
      </c>
      <c r="W678" s="12">
        <v>84</v>
      </c>
    </row>
    <row r="679" spans="4:23" s="12" customFormat="1" ht="30.75" customHeight="1" thickTop="1" thickBot="1" x14ac:dyDescent="0.35">
      <c r="D679" s="10"/>
      <c r="G679" s="13">
        <f t="shared" si="54"/>
        <v>678</v>
      </c>
      <c r="H679" s="18">
        <v>45864</v>
      </c>
      <c r="I679" s="15" t="s">
        <v>23</v>
      </c>
      <c r="J679" s="15">
        <v>29568</v>
      </c>
      <c r="K679" s="15">
        <v>154</v>
      </c>
      <c r="L679" s="15">
        <v>27793.919999999998</v>
      </c>
      <c r="M679" s="16">
        <f t="shared" si="50"/>
        <v>180.48</v>
      </c>
      <c r="N679" s="15">
        <v>0</v>
      </c>
      <c r="O679" s="16">
        <f t="shared" si="51"/>
        <v>29568</v>
      </c>
      <c r="P679" s="15" t="s">
        <v>18</v>
      </c>
      <c r="Q679" s="15">
        <v>0.06</v>
      </c>
      <c r="R679" s="16">
        <f t="shared" si="52"/>
        <v>1774.08</v>
      </c>
      <c r="S679" s="15">
        <v>0</v>
      </c>
      <c r="T679" s="15">
        <v>0</v>
      </c>
      <c r="U679" s="17">
        <f t="shared" si="53"/>
        <v>1774.08</v>
      </c>
      <c r="V679" s="12" t="s">
        <v>54</v>
      </c>
      <c r="W679" s="12">
        <v>84</v>
      </c>
    </row>
    <row r="680" spans="4:23" s="12" customFormat="1" ht="30.75" customHeight="1" thickTop="1" thickBot="1" x14ac:dyDescent="0.35">
      <c r="D680" s="10"/>
      <c r="G680" s="13">
        <f t="shared" si="54"/>
        <v>679</v>
      </c>
      <c r="H680" s="18">
        <v>45864</v>
      </c>
      <c r="I680" s="15" t="s">
        <v>24</v>
      </c>
      <c r="J680" s="15">
        <v>9751.2000000000007</v>
      </c>
      <c r="K680" s="15">
        <v>30</v>
      </c>
      <c r="L680" s="15">
        <v>9166.1299999999992</v>
      </c>
      <c r="M680" s="16">
        <f t="shared" si="50"/>
        <v>305.53766666666667</v>
      </c>
      <c r="N680" s="15">
        <v>0</v>
      </c>
      <c r="O680" s="16">
        <f t="shared" si="51"/>
        <v>9751.2000000000007</v>
      </c>
      <c r="P680" s="15" t="s">
        <v>18</v>
      </c>
      <c r="Q680" s="15">
        <v>0.06</v>
      </c>
      <c r="R680" s="16">
        <f t="shared" si="52"/>
        <v>585.072</v>
      </c>
      <c r="S680" s="15">
        <v>0</v>
      </c>
      <c r="T680" s="15">
        <v>0</v>
      </c>
      <c r="U680" s="17">
        <f t="shared" si="53"/>
        <v>585.072</v>
      </c>
      <c r="V680" s="12" t="s">
        <v>54</v>
      </c>
      <c r="W680" s="12">
        <v>84</v>
      </c>
    </row>
    <row r="681" spans="4:23" s="12" customFormat="1" ht="30.75" customHeight="1" thickTop="1" thickBot="1" x14ac:dyDescent="0.35">
      <c r="D681" s="10"/>
      <c r="G681" s="13">
        <f t="shared" si="54"/>
        <v>680</v>
      </c>
      <c r="H681" s="18">
        <v>45866</v>
      </c>
      <c r="I681" s="15" t="s">
        <v>30</v>
      </c>
      <c r="J681" s="15">
        <v>46087.5</v>
      </c>
      <c r="K681" s="15">
        <v>150</v>
      </c>
      <c r="L681" s="15">
        <v>34749.980000000003</v>
      </c>
      <c r="M681" s="16">
        <f t="shared" si="50"/>
        <v>231.66653333333335</v>
      </c>
      <c r="N681" s="15">
        <v>0</v>
      </c>
      <c r="O681" s="16">
        <f t="shared" si="51"/>
        <v>46087.5</v>
      </c>
      <c r="P681" s="15" t="s">
        <v>18</v>
      </c>
      <c r="Q681" s="15">
        <v>0.06</v>
      </c>
      <c r="R681" s="16">
        <f t="shared" si="52"/>
        <v>2765.25</v>
      </c>
      <c r="S681" s="15">
        <v>0</v>
      </c>
      <c r="T681" s="15">
        <v>0</v>
      </c>
      <c r="U681" s="17">
        <f t="shared" si="53"/>
        <v>2765.25</v>
      </c>
      <c r="V681" s="12" t="s">
        <v>54</v>
      </c>
      <c r="W681" s="12">
        <v>85</v>
      </c>
    </row>
    <row r="682" spans="4:23" s="12" customFormat="1" ht="30.75" customHeight="1" thickTop="1" thickBot="1" x14ac:dyDescent="0.35">
      <c r="D682" s="10"/>
      <c r="G682" s="13">
        <f t="shared" si="54"/>
        <v>681</v>
      </c>
      <c r="H682" s="18">
        <v>45866</v>
      </c>
      <c r="I682" s="15" t="s">
        <v>17</v>
      </c>
      <c r="J682" s="15">
        <v>107537.5</v>
      </c>
      <c r="K682" s="15">
        <v>350</v>
      </c>
      <c r="L682" s="15">
        <v>81083.28</v>
      </c>
      <c r="M682" s="16">
        <f t="shared" si="50"/>
        <v>231.66651428571427</v>
      </c>
      <c r="N682" s="15">
        <v>0</v>
      </c>
      <c r="O682" s="16">
        <f t="shared" si="51"/>
        <v>107537.5</v>
      </c>
      <c r="P682" s="15" t="s">
        <v>18</v>
      </c>
      <c r="Q682" s="15">
        <v>0.06</v>
      </c>
      <c r="R682" s="16">
        <f t="shared" si="52"/>
        <v>6452.25</v>
      </c>
      <c r="S682" s="15">
        <v>0</v>
      </c>
      <c r="T682" s="15">
        <v>0</v>
      </c>
      <c r="U682" s="17">
        <f t="shared" si="53"/>
        <v>6452.25</v>
      </c>
      <c r="V682" s="12" t="s">
        <v>54</v>
      </c>
      <c r="W682" s="12">
        <v>85</v>
      </c>
    </row>
    <row r="683" spans="4:23" s="12" customFormat="1" ht="30.75" customHeight="1" thickTop="1" thickBot="1" x14ac:dyDescent="0.35">
      <c r="D683" s="10"/>
      <c r="G683" s="13">
        <f t="shared" si="54"/>
        <v>682</v>
      </c>
      <c r="H683" s="18">
        <v>45866</v>
      </c>
      <c r="I683" s="15" t="s">
        <v>35</v>
      </c>
      <c r="J683" s="15">
        <v>6657.6</v>
      </c>
      <c r="K683" s="15">
        <v>38</v>
      </c>
      <c r="L683" s="15">
        <v>4593.74</v>
      </c>
      <c r="M683" s="16">
        <f t="shared" si="50"/>
        <v>120.8878947368421</v>
      </c>
      <c r="N683" s="15">
        <v>0</v>
      </c>
      <c r="O683" s="16">
        <f t="shared" si="51"/>
        <v>6657.6</v>
      </c>
      <c r="P683" s="15" t="s">
        <v>18</v>
      </c>
      <c r="Q683" s="15">
        <v>0.06</v>
      </c>
      <c r="R683" s="16">
        <f t="shared" si="52"/>
        <v>399.45600000000002</v>
      </c>
      <c r="S683" s="15">
        <v>0</v>
      </c>
      <c r="T683" s="15">
        <v>0</v>
      </c>
      <c r="U683" s="17">
        <f t="shared" si="53"/>
        <v>399.45600000000002</v>
      </c>
      <c r="V683" s="12" t="s">
        <v>54</v>
      </c>
      <c r="W683" s="12">
        <v>85</v>
      </c>
    </row>
    <row r="684" spans="4:23" s="12" customFormat="1" ht="30.75" customHeight="1" thickTop="1" thickBot="1" x14ac:dyDescent="0.35">
      <c r="D684" s="10"/>
      <c r="G684" s="13">
        <f t="shared" si="54"/>
        <v>683</v>
      </c>
      <c r="H684" s="18">
        <v>45866</v>
      </c>
      <c r="I684" s="36" t="s">
        <v>20</v>
      </c>
      <c r="J684" s="15">
        <v>936</v>
      </c>
      <c r="K684" s="15">
        <v>3</v>
      </c>
      <c r="L684" s="15">
        <v>879.84</v>
      </c>
      <c r="M684" s="16">
        <f t="shared" si="50"/>
        <v>293.28000000000003</v>
      </c>
      <c r="N684" s="15">
        <v>0</v>
      </c>
      <c r="O684" s="16">
        <f t="shared" si="51"/>
        <v>936</v>
      </c>
      <c r="P684" s="15" t="s">
        <v>18</v>
      </c>
      <c r="Q684" s="15">
        <v>0.06</v>
      </c>
      <c r="R684" s="16">
        <f t="shared" si="52"/>
        <v>56.16</v>
      </c>
      <c r="S684" s="15">
        <v>0</v>
      </c>
      <c r="T684" s="15">
        <v>0</v>
      </c>
      <c r="U684" s="17">
        <f t="shared" si="53"/>
        <v>56.16</v>
      </c>
      <c r="V684" s="12" t="s">
        <v>54</v>
      </c>
      <c r="W684" s="12">
        <v>85</v>
      </c>
    </row>
    <row r="685" spans="4:23" s="12" customFormat="1" ht="30.75" customHeight="1" thickTop="1" thickBot="1" x14ac:dyDescent="0.35">
      <c r="D685" s="10"/>
      <c r="G685" s="13">
        <f t="shared" si="54"/>
        <v>684</v>
      </c>
      <c r="H685" s="18">
        <v>45866</v>
      </c>
      <c r="I685" s="15" t="s">
        <v>21</v>
      </c>
      <c r="J685" s="15">
        <v>2966.4</v>
      </c>
      <c r="K685" s="15">
        <v>12</v>
      </c>
      <c r="L685" s="15">
        <v>2788.42</v>
      </c>
      <c r="M685" s="16">
        <f t="shared" si="50"/>
        <v>232.36833333333334</v>
      </c>
      <c r="N685" s="15">
        <v>0</v>
      </c>
      <c r="O685" s="16">
        <f t="shared" si="51"/>
        <v>2966.4</v>
      </c>
      <c r="P685" s="15" t="s">
        <v>18</v>
      </c>
      <c r="Q685" s="15">
        <v>0.06</v>
      </c>
      <c r="R685" s="16">
        <f t="shared" si="52"/>
        <v>177.98400000000001</v>
      </c>
      <c r="S685" s="15">
        <v>0</v>
      </c>
      <c r="T685" s="15">
        <v>0</v>
      </c>
      <c r="U685" s="17">
        <f t="shared" si="53"/>
        <v>177.98400000000001</v>
      </c>
      <c r="V685" s="12" t="s">
        <v>54</v>
      </c>
      <c r="W685" s="12">
        <v>85</v>
      </c>
    </row>
    <row r="686" spans="4:23" s="12" customFormat="1" ht="30.75" customHeight="1" thickTop="1" thickBot="1" x14ac:dyDescent="0.35">
      <c r="D686" s="10"/>
      <c r="G686" s="13">
        <f t="shared" si="54"/>
        <v>685</v>
      </c>
      <c r="H686" s="18">
        <v>45866</v>
      </c>
      <c r="I686" s="15" t="s">
        <v>22</v>
      </c>
      <c r="J686" s="15">
        <v>2154</v>
      </c>
      <c r="K686" s="15">
        <v>8</v>
      </c>
      <c r="L686" s="15">
        <v>2024.76</v>
      </c>
      <c r="M686" s="16">
        <f t="shared" si="50"/>
        <v>253.095</v>
      </c>
      <c r="N686" s="15">
        <v>0</v>
      </c>
      <c r="O686" s="16">
        <f t="shared" si="51"/>
        <v>2154</v>
      </c>
      <c r="P686" s="15" t="s">
        <v>18</v>
      </c>
      <c r="Q686" s="15">
        <v>0.06</v>
      </c>
      <c r="R686" s="16">
        <f t="shared" si="52"/>
        <v>129.24</v>
      </c>
      <c r="S686" s="15">
        <v>0</v>
      </c>
      <c r="T686" s="15">
        <v>0</v>
      </c>
      <c r="U686" s="17">
        <f t="shared" si="53"/>
        <v>129.24</v>
      </c>
      <c r="V686" s="12" t="s">
        <v>54</v>
      </c>
      <c r="W686" s="12">
        <v>85</v>
      </c>
    </row>
    <row r="687" spans="4:23" s="12" customFormat="1" ht="30.75" customHeight="1" thickTop="1" thickBot="1" x14ac:dyDescent="0.35">
      <c r="D687" s="10"/>
      <c r="G687" s="13">
        <f t="shared" si="54"/>
        <v>686</v>
      </c>
      <c r="H687" s="18">
        <v>45866</v>
      </c>
      <c r="I687" s="15" t="s">
        <v>23</v>
      </c>
      <c r="J687" s="15">
        <v>48000</v>
      </c>
      <c r="K687" s="15">
        <v>250</v>
      </c>
      <c r="L687" s="15">
        <v>45120</v>
      </c>
      <c r="M687" s="16">
        <f t="shared" si="50"/>
        <v>180.48</v>
      </c>
      <c r="N687" s="15">
        <v>0</v>
      </c>
      <c r="O687" s="16">
        <f t="shared" si="51"/>
        <v>48000</v>
      </c>
      <c r="P687" s="15" t="s">
        <v>18</v>
      </c>
      <c r="Q687" s="15">
        <v>0.06</v>
      </c>
      <c r="R687" s="16">
        <f t="shared" si="52"/>
        <v>2880</v>
      </c>
      <c r="S687" s="15">
        <v>0</v>
      </c>
      <c r="T687" s="15">
        <v>0</v>
      </c>
      <c r="U687" s="17">
        <f t="shared" si="53"/>
        <v>2880</v>
      </c>
      <c r="V687" s="12" t="s">
        <v>54</v>
      </c>
      <c r="W687" s="12">
        <v>85</v>
      </c>
    </row>
    <row r="688" spans="4:23" s="12" customFormat="1" ht="30.75" customHeight="1" thickTop="1" thickBot="1" x14ac:dyDescent="0.35">
      <c r="D688" s="10"/>
      <c r="G688" s="13">
        <f t="shared" si="54"/>
        <v>687</v>
      </c>
      <c r="H688" s="18">
        <v>45866</v>
      </c>
      <c r="I688" s="15" t="s">
        <v>24</v>
      </c>
      <c r="J688" s="15">
        <v>8126</v>
      </c>
      <c r="K688" s="15">
        <v>25</v>
      </c>
      <c r="L688" s="15">
        <v>7638.44</v>
      </c>
      <c r="M688" s="16">
        <f t="shared" si="50"/>
        <v>305.5376</v>
      </c>
      <c r="N688" s="15">
        <v>0</v>
      </c>
      <c r="O688" s="16">
        <f t="shared" si="51"/>
        <v>8126</v>
      </c>
      <c r="P688" s="15" t="s">
        <v>18</v>
      </c>
      <c r="Q688" s="15">
        <v>0.06</v>
      </c>
      <c r="R688" s="16">
        <f t="shared" si="52"/>
        <v>487.56</v>
      </c>
      <c r="S688" s="15">
        <v>0</v>
      </c>
      <c r="T688" s="15">
        <v>0</v>
      </c>
      <c r="U688" s="17">
        <f t="shared" si="53"/>
        <v>487.56</v>
      </c>
      <c r="V688" s="12" t="s">
        <v>54</v>
      </c>
      <c r="W688" s="12">
        <v>85</v>
      </c>
    </row>
    <row r="689" spans="4:23" s="12" customFormat="1" ht="30.75" customHeight="1" thickTop="1" thickBot="1" x14ac:dyDescent="0.35">
      <c r="D689" s="10"/>
      <c r="G689" s="13">
        <f t="shared" si="54"/>
        <v>688</v>
      </c>
      <c r="H689" s="18">
        <v>45866</v>
      </c>
      <c r="I689" s="15" t="s">
        <v>31</v>
      </c>
      <c r="J689" s="15">
        <v>7680</v>
      </c>
      <c r="K689" s="15">
        <v>40</v>
      </c>
      <c r="L689" s="15">
        <v>7219.2</v>
      </c>
      <c r="M689" s="16">
        <f t="shared" si="50"/>
        <v>180.48</v>
      </c>
      <c r="N689" s="15">
        <v>0</v>
      </c>
      <c r="O689" s="16">
        <f t="shared" si="51"/>
        <v>7680</v>
      </c>
      <c r="P689" s="15" t="s">
        <v>18</v>
      </c>
      <c r="Q689" s="15">
        <v>0.06</v>
      </c>
      <c r="R689" s="16">
        <f t="shared" si="52"/>
        <v>460.79999999999995</v>
      </c>
      <c r="S689" s="15">
        <v>0</v>
      </c>
      <c r="T689" s="15">
        <v>0</v>
      </c>
      <c r="U689" s="17">
        <f t="shared" si="53"/>
        <v>460.79999999999995</v>
      </c>
      <c r="V689" s="12" t="s">
        <v>54</v>
      </c>
      <c r="W689" s="12">
        <v>85</v>
      </c>
    </row>
    <row r="690" spans="4:23" s="12" customFormat="1" ht="30.75" customHeight="1" thickTop="1" thickBot="1" x14ac:dyDescent="0.35">
      <c r="D690" s="10"/>
      <c r="G690" s="13">
        <f t="shared" si="54"/>
        <v>689</v>
      </c>
      <c r="H690" s="18">
        <v>45868</v>
      </c>
      <c r="I690" s="15" t="s">
        <v>45</v>
      </c>
      <c r="J690" s="15">
        <v>2970</v>
      </c>
      <c r="K690" s="15">
        <v>5</v>
      </c>
      <c r="L690" s="15">
        <v>2738.34</v>
      </c>
      <c r="M690" s="16">
        <f t="shared" si="50"/>
        <v>547.66800000000001</v>
      </c>
      <c r="N690" s="15">
        <v>0</v>
      </c>
      <c r="O690" s="16">
        <f t="shared" si="51"/>
        <v>2970</v>
      </c>
      <c r="P690" s="15" t="s">
        <v>33</v>
      </c>
      <c r="Q690" s="15">
        <v>0.01</v>
      </c>
      <c r="R690" s="16">
        <f t="shared" si="52"/>
        <v>29.7</v>
      </c>
      <c r="S690" s="15">
        <v>0</v>
      </c>
      <c r="T690" s="15">
        <v>0</v>
      </c>
      <c r="U690" s="17">
        <f t="shared" si="53"/>
        <v>29.7</v>
      </c>
      <c r="V690" s="12" t="s">
        <v>54</v>
      </c>
      <c r="W690" s="12">
        <v>86</v>
      </c>
    </row>
    <row r="691" spans="4:23" s="12" customFormat="1" ht="30.75" customHeight="1" thickTop="1" thickBot="1" x14ac:dyDescent="0.35">
      <c r="D691" s="10"/>
      <c r="G691" s="13">
        <f t="shared" si="54"/>
        <v>690</v>
      </c>
      <c r="H691" s="18">
        <v>45868</v>
      </c>
      <c r="I691" s="15" t="s">
        <v>30</v>
      </c>
      <c r="J691" s="15">
        <v>69131.25</v>
      </c>
      <c r="K691" s="15">
        <v>225</v>
      </c>
      <c r="L691" s="15">
        <v>52124.959999999999</v>
      </c>
      <c r="M691" s="16">
        <f t="shared" si="50"/>
        <v>231.66648888888889</v>
      </c>
      <c r="N691" s="15">
        <v>0</v>
      </c>
      <c r="O691" s="16">
        <f t="shared" si="51"/>
        <v>69131.25</v>
      </c>
      <c r="P691" s="15" t="s">
        <v>18</v>
      </c>
      <c r="Q691" s="15">
        <v>0.06</v>
      </c>
      <c r="R691" s="16">
        <f t="shared" si="52"/>
        <v>4147.875</v>
      </c>
      <c r="S691" s="15">
        <v>0</v>
      </c>
      <c r="T691" s="15">
        <v>0</v>
      </c>
      <c r="U691" s="17">
        <f t="shared" si="53"/>
        <v>4147.875</v>
      </c>
      <c r="V691" s="12" t="s">
        <v>54</v>
      </c>
      <c r="W691" s="12">
        <v>86</v>
      </c>
    </row>
    <row r="692" spans="4:23" s="12" customFormat="1" ht="30.75" customHeight="1" thickTop="1" thickBot="1" x14ac:dyDescent="0.35">
      <c r="D692" s="10"/>
      <c r="G692" s="13">
        <f t="shared" si="54"/>
        <v>691</v>
      </c>
      <c r="H692" s="18">
        <v>45868</v>
      </c>
      <c r="I692" s="15" t="s">
        <v>17</v>
      </c>
      <c r="J692" s="15">
        <v>61450</v>
      </c>
      <c r="K692" s="15">
        <v>200</v>
      </c>
      <c r="L692" s="15">
        <v>46333.3</v>
      </c>
      <c r="M692" s="16">
        <f t="shared" si="50"/>
        <v>231.66650000000001</v>
      </c>
      <c r="N692" s="15">
        <v>0</v>
      </c>
      <c r="O692" s="16">
        <f t="shared" si="51"/>
        <v>61450</v>
      </c>
      <c r="P692" s="15" t="s">
        <v>18</v>
      </c>
      <c r="Q692" s="15">
        <v>0.06</v>
      </c>
      <c r="R692" s="16">
        <f t="shared" si="52"/>
        <v>3687</v>
      </c>
      <c r="S692" s="15">
        <v>0</v>
      </c>
      <c r="T692" s="15">
        <v>0</v>
      </c>
      <c r="U692" s="17">
        <f t="shared" si="53"/>
        <v>3687</v>
      </c>
      <c r="V692" s="12" t="s">
        <v>54</v>
      </c>
      <c r="W692" s="12">
        <v>86</v>
      </c>
    </row>
    <row r="693" spans="4:23" s="12" customFormat="1" ht="30.75" customHeight="1" thickTop="1" thickBot="1" x14ac:dyDescent="0.35">
      <c r="D693" s="10"/>
      <c r="G693" s="13">
        <f t="shared" si="54"/>
        <v>692</v>
      </c>
      <c r="H693" s="18">
        <v>45868</v>
      </c>
      <c r="I693" s="15" t="s">
        <v>35</v>
      </c>
      <c r="J693" s="15">
        <v>1752</v>
      </c>
      <c r="K693" s="15">
        <v>10</v>
      </c>
      <c r="L693" s="15">
        <v>1646.88</v>
      </c>
      <c r="M693" s="16">
        <f t="shared" si="50"/>
        <v>164.68800000000002</v>
      </c>
      <c r="N693" s="15">
        <v>0</v>
      </c>
      <c r="O693" s="16">
        <f t="shared" si="51"/>
        <v>1752</v>
      </c>
      <c r="P693" s="15" t="s">
        <v>18</v>
      </c>
      <c r="Q693" s="15">
        <v>0.06</v>
      </c>
      <c r="R693" s="16">
        <f t="shared" si="52"/>
        <v>105.11999999999999</v>
      </c>
      <c r="S693" s="15">
        <v>0</v>
      </c>
      <c r="T693" s="15">
        <v>0</v>
      </c>
      <c r="U693" s="17">
        <f t="shared" si="53"/>
        <v>105.11999999999999</v>
      </c>
      <c r="V693" s="12" t="s">
        <v>54</v>
      </c>
      <c r="W693" s="12">
        <v>86</v>
      </c>
    </row>
    <row r="694" spans="4:23" s="12" customFormat="1" ht="30.75" customHeight="1" thickTop="1" thickBot="1" x14ac:dyDescent="0.35">
      <c r="D694" s="10"/>
      <c r="G694" s="13">
        <f t="shared" si="54"/>
        <v>693</v>
      </c>
      <c r="H694" s="18">
        <v>45868</v>
      </c>
      <c r="I694" s="15" t="s">
        <v>22</v>
      </c>
      <c r="J694" s="15">
        <v>1346.25</v>
      </c>
      <c r="K694" s="15">
        <v>5</v>
      </c>
      <c r="L694" s="15">
        <v>1265.48</v>
      </c>
      <c r="M694" s="16">
        <f t="shared" si="50"/>
        <v>253.096</v>
      </c>
      <c r="N694" s="15">
        <v>0</v>
      </c>
      <c r="O694" s="16">
        <f t="shared" si="51"/>
        <v>1346.25</v>
      </c>
      <c r="P694" s="15" t="s">
        <v>18</v>
      </c>
      <c r="Q694" s="15">
        <v>0.06</v>
      </c>
      <c r="R694" s="16">
        <f t="shared" si="52"/>
        <v>80.774999999999991</v>
      </c>
      <c r="S694" s="15">
        <v>0</v>
      </c>
      <c r="T694" s="15">
        <v>0</v>
      </c>
      <c r="U694" s="17">
        <f t="shared" si="53"/>
        <v>80.774999999999991</v>
      </c>
      <c r="V694" s="12" t="s">
        <v>54</v>
      </c>
      <c r="W694" s="12">
        <v>86</v>
      </c>
    </row>
    <row r="695" spans="4:23" s="12" customFormat="1" ht="30.75" customHeight="1" thickTop="1" thickBot="1" x14ac:dyDescent="0.35">
      <c r="D695" s="10"/>
      <c r="G695" s="13">
        <f t="shared" si="54"/>
        <v>694</v>
      </c>
      <c r="H695" s="18">
        <v>45868</v>
      </c>
      <c r="I695" s="15" t="s">
        <v>23</v>
      </c>
      <c r="J695" s="15">
        <v>48000</v>
      </c>
      <c r="K695" s="15">
        <v>250</v>
      </c>
      <c r="L695" s="15">
        <v>45120</v>
      </c>
      <c r="M695" s="16">
        <f t="shared" si="50"/>
        <v>180.48</v>
      </c>
      <c r="N695" s="15">
        <v>0</v>
      </c>
      <c r="O695" s="16">
        <f t="shared" si="51"/>
        <v>48000</v>
      </c>
      <c r="P695" s="15" t="s">
        <v>18</v>
      </c>
      <c r="Q695" s="15">
        <v>0.06</v>
      </c>
      <c r="R695" s="16">
        <f t="shared" si="52"/>
        <v>2880</v>
      </c>
      <c r="S695" s="15">
        <v>0</v>
      </c>
      <c r="T695" s="15">
        <v>0</v>
      </c>
      <c r="U695" s="17">
        <f t="shared" si="53"/>
        <v>2880</v>
      </c>
      <c r="V695" s="12" t="s">
        <v>54</v>
      </c>
      <c r="W695" s="12">
        <v>86</v>
      </c>
    </row>
    <row r="696" spans="4:23" s="12" customFormat="1" ht="30.75" customHeight="1" thickTop="1" thickBot="1" x14ac:dyDescent="0.35">
      <c r="D696" s="10"/>
      <c r="G696" s="13">
        <f t="shared" si="54"/>
        <v>695</v>
      </c>
      <c r="H696" s="18">
        <v>45868</v>
      </c>
      <c r="I696" s="15" t="s">
        <v>24</v>
      </c>
      <c r="J696" s="15">
        <v>8126</v>
      </c>
      <c r="K696" s="15">
        <v>25</v>
      </c>
      <c r="L696" s="15">
        <v>7638.44</v>
      </c>
      <c r="M696" s="16">
        <f t="shared" si="50"/>
        <v>305.5376</v>
      </c>
      <c r="N696" s="15">
        <v>0</v>
      </c>
      <c r="O696" s="16">
        <f t="shared" si="51"/>
        <v>8126</v>
      </c>
      <c r="P696" s="15" t="s">
        <v>18</v>
      </c>
      <c r="Q696" s="15">
        <v>0.06</v>
      </c>
      <c r="R696" s="16">
        <f t="shared" si="52"/>
        <v>487.56</v>
      </c>
      <c r="S696" s="15">
        <v>0</v>
      </c>
      <c r="T696" s="15">
        <v>0</v>
      </c>
      <c r="U696" s="17">
        <f t="shared" si="53"/>
        <v>487.56</v>
      </c>
      <c r="V696" s="12" t="s">
        <v>54</v>
      </c>
      <c r="W696" s="12">
        <v>86</v>
      </c>
    </row>
    <row r="697" spans="4:23" s="12" customFormat="1" ht="30.75" customHeight="1" thickTop="1" thickBot="1" x14ac:dyDescent="0.35">
      <c r="D697" s="10"/>
      <c r="G697" s="13">
        <f t="shared" si="54"/>
        <v>696</v>
      </c>
      <c r="H697" s="18">
        <v>45868</v>
      </c>
      <c r="I697" s="15" t="s">
        <v>31</v>
      </c>
      <c r="J697" s="15">
        <v>4800</v>
      </c>
      <c r="K697" s="15">
        <v>25</v>
      </c>
      <c r="L697" s="15">
        <v>4512</v>
      </c>
      <c r="M697" s="16">
        <f t="shared" si="50"/>
        <v>180.48</v>
      </c>
      <c r="N697" s="15">
        <v>0</v>
      </c>
      <c r="O697" s="16">
        <f t="shared" si="51"/>
        <v>4800</v>
      </c>
      <c r="P697" s="15" t="s">
        <v>18</v>
      </c>
      <c r="Q697" s="15">
        <v>0.06</v>
      </c>
      <c r="R697" s="16">
        <f t="shared" si="52"/>
        <v>288</v>
      </c>
      <c r="S697" s="15">
        <v>0</v>
      </c>
      <c r="T697" s="15">
        <v>0</v>
      </c>
      <c r="U697" s="17">
        <f t="shared" si="53"/>
        <v>288</v>
      </c>
      <c r="V697" s="12" t="s">
        <v>54</v>
      </c>
      <c r="W697" s="12">
        <v>86</v>
      </c>
    </row>
    <row r="698" spans="4:23" s="12" customFormat="1" ht="30.75" customHeight="1" thickTop="1" thickBot="1" x14ac:dyDescent="0.35">
      <c r="D698" s="10"/>
      <c r="G698" s="13">
        <f t="shared" si="54"/>
        <v>697</v>
      </c>
      <c r="H698" s="18">
        <v>45871</v>
      </c>
      <c r="I698" s="15" t="s">
        <v>30</v>
      </c>
      <c r="J698" s="15">
        <v>46087.5</v>
      </c>
      <c r="K698" s="15">
        <v>150</v>
      </c>
      <c r="L698" s="15">
        <v>34749.980000000003</v>
      </c>
      <c r="M698" s="16">
        <f t="shared" si="50"/>
        <v>231.66653333333335</v>
      </c>
      <c r="N698" s="15">
        <v>0</v>
      </c>
      <c r="O698" s="16">
        <f t="shared" si="51"/>
        <v>46087.5</v>
      </c>
      <c r="P698" s="15" t="s">
        <v>18</v>
      </c>
      <c r="Q698" s="15">
        <v>0.06</v>
      </c>
      <c r="R698" s="16">
        <f t="shared" si="52"/>
        <v>2765.25</v>
      </c>
      <c r="S698" s="15">
        <v>0</v>
      </c>
      <c r="T698" s="15">
        <v>0</v>
      </c>
      <c r="U698" s="17">
        <f t="shared" si="53"/>
        <v>2765.25</v>
      </c>
      <c r="V698" s="12" t="s">
        <v>54</v>
      </c>
      <c r="W698" s="12">
        <v>87</v>
      </c>
    </row>
    <row r="699" spans="4:23" s="12" customFormat="1" ht="30.75" customHeight="1" thickTop="1" thickBot="1" x14ac:dyDescent="0.35">
      <c r="D699" s="10"/>
      <c r="G699" s="13">
        <f t="shared" si="54"/>
        <v>698</v>
      </c>
      <c r="H699" s="18">
        <v>45871</v>
      </c>
      <c r="I699" s="15" t="s">
        <v>17</v>
      </c>
      <c r="J699" s="15">
        <v>61450</v>
      </c>
      <c r="K699" s="15">
        <v>200</v>
      </c>
      <c r="L699" s="15">
        <v>46333.3</v>
      </c>
      <c r="M699" s="16">
        <f t="shared" si="50"/>
        <v>231.66650000000001</v>
      </c>
      <c r="N699" s="15">
        <v>0</v>
      </c>
      <c r="O699" s="16">
        <f t="shared" si="51"/>
        <v>61450</v>
      </c>
      <c r="P699" s="15" t="s">
        <v>18</v>
      </c>
      <c r="Q699" s="15">
        <v>0.06</v>
      </c>
      <c r="R699" s="16">
        <f t="shared" si="52"/>
        <v>3687</v>
      </c>
      <c r="S699" s="15">
        <v>0</v>
      </c>
      <c r="T699" s="15">
        <v>0</v>
      </c>
      <c r="U699" s="17">
        <f t="shared" si="53"/>
        <v>3687</v>
      </c>
      <c r="V699" s="12" t="s">
        <v>54</v>
      </c>
      <c r="W699" s="12">
        <v>87</v>
      </c>
    </row>
    <row r="700" spans="4:23" s="12" customFormat="1" ht="30.75" customHeight="1" thickTop="1" thickBot="1" x14ac:dyDescent="0.35">
      <c r="D700" s="10"/>
      <c r="G700" s="13">
        <f t="shared" si="54"/>
        <v>699</v>
      </c>
      <c r="H700" s="18">
        <v>45871</v>
      </c>
      <c r="I700" s="15" t="s">
        <v>23</v>
      </c>
      <c r="J700" s="15">
        <v>36480</v>
      </c>
      <c r="K700" s="15">
        <v>190</v>
      </c>
      <c r="L700" s="15">
        <v>34291.199999999997</v>
      </c>
      <c r="M700" s="16">
        <f t="shared" si="50"/>
        <v>180.48</v>
      </c>
      <c r="N700" s="15">
        <v>0</v>
      </c>
      <c r="O700" s="16">
        <f t="shared" si="51"/>
        <v>36480</v>
      </c>
      <c r="P700" s="15" t="s">
        <v>18</v>
      </c>
      <c r="Q700" s="15">
        <v>0.06</v>
      </c>
      <c r="R700" s="16">
        <f t="shared" si="52"/>
        <v>2188.7999999999997</v>
      </c>
      <c r="S700" s="15">
        <v>0</v>
      </c>
      <c r="T700" s="15">
        <v>0</v>
      </c>
      <c r="U700" s="17">
        <f t="shared" si="53"/>
        <v>2188.7999999999997</v>
      </c>
      <c r="V700" s="12" t="s">
        <v>54</v>
      </c>
      <c r="W700" s="12">
        <v>87</v>
      </c>
    </row>
    <row r="701" spans="4:23" s="12" customFormat="1" ht="30.75" customHeight="1" thickTop="1" thickBot="1" x14ac:dyDescent="0.35">
      <c r="D701" s="10"/>
      <c r="G701" s="13">
        <f t="shared" si="54"/>
        <v>700</v>
      </c>
      <c r="H701" s="18">
        <v>45871</v>
      </c>
      <c r="I701" s="15" t="s">
        <v>24</v>
      </c>
      <c r="J701" s="15">
        <v>8126</v>
      </c>
      <c r="K701" s="15">
        <v>25</v>
      </c>
      <c r="L701" s="15">
        <v>7638.44</v>
      </c>
      <c r="M701" s="16">
        <f t="shared" si="50"/>
        <v>305.5376</v>
      </c>
      <c r="N701" s="15">
        <v>0</v>
      </c>
      <c r="O701" s="16">
        <f t="shared" si="51"/>
        <v>8126</v>
      </c>
      <c r="P701" s="15" t="s">
        <v>18</v>
      </c>
      <c r="Q701" s="15">
        <v>0.06</v>
      </c>
      <c r="R701" s="16">
        <f t="shared" si="52"/>
        <v>487.56</v>
      </c>
      <c r="S701" s="15">
        <v>0</v>
      </c>
      <c r="T701" s="15">
        <v>0</v>
      </c>
      <c r="U701" s="17">
        <f t="shared" si="53"/>
        <v>487.56</v>
      </c>
      <c r="V701" s="12" t="s">
        <v>54</v>
      </c>
      <c r="W701" s="12">
        <v>87</v>
      </c>
    </row>
    <row r="702" spans="4:23" s="12" customFormat="1" ht="30.75" customHeight="1" thickTop="1" thickBot="1" x14ac:dyDescent="0.35">
      <c r="D702" s="10"/>
      <c r="G702" s="13">
        <f t="shared" si="54"/>
        <v>701</v>
      </c>
      <c r="H702" s="18">
        <v>45871</v>
      </c>
      <c r="I702" s="15" t="s">
        <v>31</v>
      </c>
      <c r="J702" s="15">
        <v>7680</v>
      </c>
      <c r="K702" s="15">
        <v>40</v>
      </c>
      <c r="L702" s="15">
        <v>7219.2</v>
      </c>
      <c r="M702" s="16">
        <f t="shared" si="50"/>
        <v>180.48</v>
      </c>
      <c r="N702" s="15">
        <v>0</v>
      </c>
      <c r="O702" s="16">
        <f t="shared" si="51"/>
        <v>7680</v>
      </c>
      <c r="P702" s="15" t="s">
        <v>18</v>
      </c>
      <c r="Q702" s="15">
        <v>0.06</v>
      </c>
      <c r="R702" s="16">
        <f t="shared" si="52"/>
        <v>460.79999999999995</v>
      </c>
      <c r="S702" s="15">
        <v>0</v>
      </c>
      <c r="T702" s="15">
        <v>0</v>
      </c>
      <c r="U702" s="17">
        <f t="shared" si="53"/>
        <v>460.79999999999995</v>
      </c>
      <c r="V702" s="12" t="s">
        <v>54</v>
      </c>
      <c r="W702" s="12">
        <v>87</v>
      </c>
    </row>
    <row r="703" spans="4:23" s="12" customFormat="1" ht="30.75" customHeight="1" thickTop="1" thickBot="1" x14ac:dyDescent="0.35">
      <c r="D703" s="10"/>
      <c r="G703" s="13">
        <f t="shared" si="54"/>
        <v>702</v>
      </c>
      <c r="H703" s="18">
        <v>45874</v>
      </c>
      <c r="I703" s="15" t="s">
        <v>30</v>
      </c>
      <c r="J703" s="15">
        <v>76812.5</v>
      </c>
      <c r="K703" s="15">
        <v>250</v>
      </c>
      <c r="L703" s="15">
        <v>57916.63</v>
      </c>
      <c r="M703" s="16">
        <f t="shared" si="50"/>
        <v>231.66651999999999</v>
      </c>
      <c r="N703" s="15">
        <v>0</v>
      </c>
      <c r="O703" s="16">
        <f t="shared" si="51"/>
        <v>76812.5</v>
      </c>
      <c r="P703" s="15" t="s">
        <v>18</v>
      </c>
      <c r="Q703" s="15">
        <v>0.06</v>
      </c>
      <c r="R703" s="16">
        <f t="shared" si="52"/>
        <v>4608.75</v>
      </c>
      <c r="S703" s="15">
        <v>0</v>
      </c>
      <c r="T703" s="15">
        <v>0</v>
      </c>
      <c r="U703" s="17">
        <f t="shared" si="53"/>
        <v>4608.75</v>
      </c>
      <c r="V703" s="12" t="s">
        <v>54</v>
      </c>
      <c r="W703" s="12">
        <v>88</v>
      </c>
    </row>
    <row r="704" spans="4:23" s="12" customFormat="1" ht="30.75" customHeight="1" thickTop="1" thickBot="1" x14ac:dyDescent="0.35">
      <c r="D704" s="10"/>
      <c r="G704" s="13">
        <f t="shared" si="54"/>
        <v>703</v>
      </c>
      <c r="H704" s="18">
        <v>45874</v>
      </c>
      <c r="I704" s="15" t="s">
        <v>17</v>
      </c>
      <c r="J704" s="15">
        <v>122900</v>
      </c>
      <c r="K704" s="15">
        <v>400</v>
      </c>
      <c r="L704" s="15">
        <v>92666.6</v>
      </c>
      <c r="M704" s="16">
        <f t="shared" si="50"/>
        <v>231.66650000000001</v>
      </c>
      <c r="N704" s="15">
        <v>0</v>
      </c>
      <c r="O704" s="16">
        <f t="shared" si="51"/>
        <v>122900</v>
      </c>
      <c r="P704" s="15" t="s">
        <v>18</v>
      </c>
      <c r="Q704" s="15">
        <v>0.06</v>
      </c>
      <c r="R704" s="16">
        <f t="shared" si="52"/>
        <v>7374</v>
      </c>
      <c r="S704" s="15">
        <v>0</v>
      </c>
      <c r="T704" s="15">
        <v>0</v>
      </c>
      <c r="U704" s="17">
        <f t="shared" si="53"/>
        <v>7374</v>
      </c>
      <c r="V704" s="12" t="s">
        <v>54</v>
      </c>
      <c r="W704" s="12">
        <v>88</v>
      </c>
    </row>
    <row r="705" spans="4:23" s="12" customFormat="1" ht="30.75" customHeight="1" thickTop="1" thickBot="1" x14ac:dyDescent="0.35">
      <c r="D705" s="10"/>
      <c r="G705" s="13">
        <f t="shared" si="54"/>
        <v>704</v>
      </c>
      <c r="H705" s="18">
        <v>45874</v>
      </c>
      <c r="I705" s="36" t="s">
        <v>20</v>
      </c>
      <c r="J705" s="15">
        <v>936</v>
      </c>
      <c r="K705" s="15">
        <v>3</v>
      </c>
      <c r="L705" s="15">
        <v>879.84</v>
      </c>
      <c r="M705" s="16">
        <f t="shared" si="50"/>
        <v>293.28000000000003</v>
      </c>
      <c r="N705" s="15">
        <v>0</v>
      </c>
      <c r="O705" s="16">
        <f t="shared" si="51"/>
        <v>936</v>
      </c>
      <c r="P705" s="15" t="s">
        <v>18</v>
      </c>
      <c r="Q705" s="15">
        <v>0.06</v>
      </c>
      <c r="R705" s="16">
        <f t="shared" si="52"/>
        <v>56.16</v>
      </c>
      <c r="S705" s="15">
        <v>0</v>
      </c>
      <c r="T705" s="15">
        <v>0</v>
      </c>
      <c r="U705" s="17">
        <f t="shared" si="53"/>
        <v>56.16</v>
      </c>
      <c r="V705" s="12" t="s">
        <v>54</v>
      </c>
      <c r="W705" s="12">
        <v>88</v>
      </c>
    </row>
    <row r="706" spans="4:23" s="12" customFormat="1" ht="30.75" customHeight="1" thickTop="1" thickBot="1" x14ac:dyDescent="0.35">
      <c r="D706" s="10"/>
      <c r="G706" s="13">
        <f t="shared" si="54"/>
        <v>705</v>
      </c>
      <c r="H706" s="18">
        <v>45874</v>
      </c>
      <c r="I706" s="15" t="s">
        <v>21</v>
      </c>
      <c r="J706" s="15">
        <v>1977.6</v>
      </c>
      <c r="K706" s="15">
        <v>8</v>
      </c>
      <c r="L706" s="15">
        <v>1858.94</v>
      </c>
      <c r="M706" s="16">
        <f t="shared" ref="M706:M769" si="55">IFERROR(L706/K706,"")</f>
        <v>232.36750000000001</v>
      </c>
      <c r="N706" s="15">
        <v>0</v>
      </c>
      <c r="O706" s="16">
        <f t="shared" ref="O706:O769" si="56">J706-N706</f>
        <v>1977.6</v>
      </c>
      <c r="P706" s="15" t="s">
        <v>18</v>
      </c>
      <c r="Q706" s="15">
        <v>0.06</v>
      </c>
      <c r="R706" s="16">
        <f t="shared" ref="R706:R769" si="57">J706*Q706</f>
        <v>118.65599999999999</v>
      </c>
      <c r="S706" s="15">
        <v>0</v>
      </c>
      <c r="T706" s="15">
        <v>0</v>
      </c>
      <c r="U706" s="17">
        <f t="shared" ref="U706:U769" si="58">T706+S706+R706</f>
        <v>118.65599999999999</v>
      </c>
      <c r="V706" s="12" t="s">
        <v>54</v>
      </c>
      <c r="W706" s="12">
        <v>88</v>
      </c>
    </row>
    <row r="707" spans="4:23" s="12" customFormat="1" ht="30.75" customHeight="1" thickTop="1" thickBot="1" x14ac:dyDescent="0.35">
      <c r="D707" s="10"/>
      <c r="G707" s="13">
        <f t="shared" si="54"/>
        <v>706</v>
      </c>
      <c r="H707" s="18">
        <v>45874</v>
      </c>
      <c r="I707" s="15" t="s">
        <v>23</v>
      </c>
      <c r="J707" s="15">
        <v>34560</v>
      </c>
      <c r="K707" s="15">
        <v>180</v>
      </c>
      <c r="L707" s="15">
        <v>32486.400000000001</v>
      </c>
      <c r="M707" s="16">
        <f t="shared" si="55"/>
        <v>180.48000000000002</v>
      </c>
      <c r="N707" s="15">
        <v>0</v>
      </c>
      <c r="O707" s="16">
        <f t="shared" si="56"/>
        <v>34560</v>
      </c>
      <c r="P707" s="15" t="s">
        <v>18</v>
      </c>
      <c r="Q707" s="15">
        <v>0.06</v>
      </c>
      <c r="R707" s="16">
        <f t="shared" si="57"/>
        <v>2073.6</v>
      </c>
      <c r="S707" s="15">
        <v>0</v>
      </c>
      <c r="T707" s="15">
        <v>0</v>
      </c>
      <c r="U707" s="17">
        <f t="shared" si="58"/>
        <v>2073.6</v>
      </c>
      <c r="V707" s="12" t="s">
        <v>54</v>
      </c>
      <c r="W707" s="12">
        <v>88</v>
      </c>
    </row>
    <row r="708" spans="4:23" s="12" customFormat="1" ht="30.75" customHeight="1" thickTop="1" thickBot="1" x14ac:dyDescent="0.35">
      <c r="D708" s="10"/>
      <c r="G708" s="13">
        <f t="shared" ref="G708:G771" si="59">G707+1</f>
        <v>707</v>
      </c>
      <c r="H708" s="18">
        <v>45874</v>
      </c>
      <c r="I708" s="15" t="s">
        <v>24</v>
      </c>
      <c r="J708" s="15">
        <v>9751.2000000000007</v>
      </c>
      <c r="K708" s="15">
        <v>30</v>
      </c>
      <c r="L708" s="15">
        <v>9166.1299999999992</v>
      </c>
      <c r="M708" s="16">
        <f t="shared" si="55"/>
        <v>305.53766666666667</v>
      </c>
      <c r="N708" s="15">
        <v>0</v>
      </c>
      <c r="O708" s="16">
        <f t="shared" si="56"/>
        <v>9751.2000000000007</v>
      </c>
      <c r="P708" s="15" t="s">
        <v>18</v>
      </c>
      <c r="Q708" s="15">
        <v>0.06</v>
      </c>
      <c r="R708" s="16">
        <f t="shared" si="57"/>
        <v>585.072</v>
      </c>
      <c r="S708" s="15">
        <v>0</v>
      </c>
      <c r="T708" s="15">
        <v>0</v>
      </c>
      <c r="U708" s="17">
        <f t="shared" si="58"/>
        <v>585.072</v>
      </c>
      <c r="V708" s="12" t="s">
        <v>54</v>
      </c>
      <c r="W708" s="12">
        <v>88</v>
      </c>
    </row>
    <row r="709" spans="4:23" s="12" customFormat="1" ht="30.75" customHeight="1" thickTop="1" thickBot="1" x14ac:dyDescent="0.35">
      <c r="D709" s="10"/>
      <c r="G709" s="13">
        <f t="shared" si="59"/>
        <v>708</v>
      </c>
      <c r="H709" s="18">
        <v>45874</v>
      </c>
      <c r="I709" s="15" t="s">
        <v>31</v>
      </c>
      <c r="J709" s="15">
        <v>5760</v>
      </c>
      <c r="K709" s="15">
        <v>30</v>
      </c>
      <c r="L709" s="15">
        <v>5414.4</v>
      </c>
      <c r="M709" s="16">
        <f t="shared" si="55"/>
        <v>180.48</v>
      </c>
      <c r="N709" s="15">
        <v>0</v>
      </c>
      <c r="O709" s="16">
        <f t="shared" si="56"/>
        <v>5760</v>
      </c>
      <c r="P709" s="15" t="s">
        <v>18</v>
      </c>
      <c r="Q709" s="15">
        <v>0.06</v>
      </c>
      <c r="R709" s="16">
        <f t="shared" si="57"/>
        <v>345.59999999999997</v>
      </c>
      <c r="S709" s="15">
        <v>0</v>
      </c>
      <c r="T709" s="15">
        <v>0</v>
      </c>
      <c r="U709" s="17">
        <f t="shared" si="58"/>
        <v>345.59999999999997</v>
      </c>
      <c r="V709" s="12" t="s">
        <v>54</v>
      </c>
      <c r="W709" s="12">
        <v>88</v>
      </c>
    </row>
    <row r="710" spans="4:23" s="12" customFormat="1" ht="30.75" customHeight="1" thickTop="1" thickBot="1" x14ac:dyDescent="0.35">
      <c r="D710" s="10"/>
      <c r="G710" s="13">
        <f t="shared" si="59"/>
        <v>709</v>
      </c>
      <c r="H710" s="18">
        <v>45874</v>
      </c>
      <c r="I710" s="36" t="s">
        <v>47</v>
      </c>
      <c r="J710" s="15">
        <v>9003</v>
      </c>
      <c r="K710" s="15">
        <v>25</v>
      </c>
      <c r="L710" s="15">
        <v>8462.82</v>
      </c>
      <c r="M710" s="16">
        <f t="shared" si="55"/>
        <v>338.51279999999997</v>
      </c>
      <c r="N710" s="15">
        <v>0</v>
      </c>
      <c r="O710" s="16">
        <f t="shared" si="56"/>
        <v>9003</v>
      </c>
      <c r="P710" s="15" t="s">
        <v>26</v>
      </c>
      <c r="Q710" s="15">
        <v>0.02</v>
      </c>
      <c r="R710" s="16">
        <f t="shared" si="57"/>
        <v>180.06</v>
      </c>
      <c r="S710" s="15">
        <v>0</v>
      </c>
      <c r="T710" s="15">
        <v>0</v>
      </c>
      <c r="U710" s="17">
        <f t="shared" si="58"/>
        <v>180.06</v>
      </c>
      <c r="V710" s="12" t="s">
        <v>54</v>
      </c>
      <c r="W710" s="12">
        <v>88</v>
      </c>
    </row>
    <row r="711" spans="4:23" s="12" customFormat="1" ht="30.75" customHeight="1" thickTop="1" thickBot="1" x14ac:dyDescent="0.35">
      <c r="D711" s="10"/>
      <c r="G711" s="13">
        <f t="shared" si="59"/>
        <v>710</v>
      </c>
      <c r="H711" s="18">
        <v>45874</v>
      </c>
      <c r="I711" s="36" t="s">
        <v>39</v>
      </c>
      <c r="J711" s="15">
        <v>9003</v>
      </c>
      <c r="K711" s="15">
        <v>25</v>
      </c>
      <c r="L711" s="15">
        <v>8462.82</v>
      </c>
      <c r="M711" s="16">
        <f t="shared" si="55"/>
        <v>338.51279999999997</v>
      </c>
      <c r="N711" s="15">
        <v>0</v>
      </c>
      <c r="O711" s="16">
        <f t="shared" si="56"/>
        <v>9003</v>
      </c>
      <c r="P711" s="15" t="s">
        <v>26</v>
      </c>
      <c r="Q711" s="15">
        <v>0.02</v>
      </c>
      <c r="R711" s="16">
        <f t="shared" si="57"/>
        <v>180.06</v>
      </c>
      <c r="S711" s="15">
        <v>0</v>
      </c>
      <c r="T711" s="15">
        <v>0</v>
      </c>
      <c r="U711" s="17">
        <f t="shared" si="58"/>
        <v>180.06</v>
      </c>
      <c r="V711" s="12" t="s">
        <v>54</v>
      </c>
      <c r="W711" s="12">
        <v>88</v>
      </c>
    </row>
    <row r="712" spans="4:23" s="12" customFormat="1" ht="30.75" customHeight="1" thickTop="1" thickBot="1" x14ac:dyDescent="0.35">
      <c r="D712" s="10"/>
      <c r="G712" s="13">
        <f t="shared" si="59"/>
        <v>711</v>
      </c>
      <c r="H712" s="18">
        <v>45874</v>
      </c>
      <c r="I712" s="15" t="s">
        <v>30</v>
      </c>
      <c r="J712" s="15">
        <v>64522.5</v>
      </c>
      <c r="K712" s="15">
        <v>210</v>
      </c>
      <c r="L712" s="15">
        <v>48649.97</v>
      </c>
      <c r="M712" s="16">
        <f t="shared" si="55"/>
        <v>231.66652380952382</v>
      </c>
      <c r="N712" s="15">
        <v>0</v>
      </c>
      <c r="O712" s="16">
        <f t="shared" si="56"/>
        <v>64522.5</v>
      </c>
      <c r="P712" s="15" t="s">
        <v>18</v>
      </c>
      <c r="Q712" s="15">
        <v>0.06</v>
      </c>
      <c r="R712" s="16">
        <f t="shared" si="57"/>
        <v>3871.35</v>
      </c>
      <c r="S712" s="15">
        <v>0</v>
      </c>
      <c r="T712" s="15">
        <v>0</v>
      </c>
      <c r="U712" s="17">
        <f t="shared" si="58"/>
        <v>3871.35</v>
      </c>
      <c r="V712" s="12" t="s">
        <v>54</v>
      </c>
      <c r="W712" s="12">
        <v>125</v>
      </c>
    </row>
    <row r="713" spans="4:23" s="12" customFormat="1" ht="30.75" customHeight="1" thickTop="1" thickBot="1" x14ac:dyDescent="0.35">
      <c r="D713" s="10"/>
      <c r="G713" s="13">
        <f t="shared" si="59"/>
        <v>712</v>
      </c>
      <c r="H713" s="18">
        <v>45874</v>
      </c>
      <c r="I713" s="15" t="s">
        <v>17</v>
      </c>
      <c r="J713" s="15">
        <v>76812.5</v>
      </c>
      <c r="K713" s="15">
        <v>250</v>
      </c>
      <c r="L713" s="15">
        <v>57916.63</v>
      </c>
      <c r="M713" s="16">
        <f t="shared" si="55"/>
        <v>231.66651999999999</v>
      </c>
      <c r="N713" s="15">
        <v>0</v>
      </c>
      <c r="O713" s="16">
        <f t="shared" si="56"/>
        <v>76812.5</v>
      </c>
      <c r="P713" s="15" t="s">
        <v>18</v>
      </c>
      <c r="Q713" s="15">
        <v>0.06</v>
      </c>
      <c r="R713" s="16">
        <f t="shared" si="57"/>
        <v>4608.75</v>
      </c>
      <c r="S713" s="15">
        <v>0</v>
      </c>
      <c r="T713" s="15">
        <v>0</v>
      </c>
      <c r="U713" s="17">
        <f t="shared" si="58"/>
        <v>4608.75</v>
      </c>
      <c r="V713" s="12" t="s">
        <v>54</v>
      </c>
      <c r="W713" s="12">
        <v>125</v>
      </c>
    </row>
    <row r="714" spans="4:23" s="12" customFormat="1" ht="30.75" customHeight="1" thickTop="1" thickBot="1" x14ac:dyDescent="0.35">
      <c r="D714" s="10"/>
      <c r="G714" s="13">
        <f t="shared" si="59"/>
        <v>713</v>
      </c>
      <c r="H714" s="18">
        <v>45874</v>
      </c>
      <c r="I714" s="15" t="s">
        <v>35</v>
      </c>
      <c r="J714" s="15">
        <v>5256</v>
      </c>
      <c r="K714" s="15">
        <v>30</v>
      </c>
      <c r="L714" s="15">
        <v>4940.6400000000003</v>
      </c>
      <c r="M714" s="16">
        <f t="shared" si="55"/>
        <v>164.68800000000002</v>
      </c>
      <c r="N714" s="15">
        <v>0</v>
      </c>
      <c r="O714" s="16">
        <f t="shared" si="56"/>
        <v>5256</v>
      </c>
      <c r="P714" s="15" t="s">
        <v>18</v>
      </c>
      <c r="Q714" s="15">
        <v>0.06</v>
      </c>
      <c r="R714" s="16">
        <f t="shared" si="57"/>
        <v>315.36</v>
      </c>
      <c r="S714" s="15">
        <v>0</v>
      </c>
      <c r="T714" s="15">
        <v>0</v>
      </c>
      <c r="U714" s="17">
        <f t="shared" si="58"/>
        <v>315.36</v>
      </c>
      <c r="V714" s="12" t="s">
        <v>54</v>
      </c>
      <c r="W714" s="12">
        <v>125</v>
      </c>
    </row>
    <row r="715" spans="4:23" s="12" customFormat="1" ht="30.75" customHeight="1" thickTop="1" thickBot="1" x14ac:dyDescent="0.35">
      <c r="D715" s="10"/>
      <c r="G715" s="13">
        <f t="shared" si="59"/>
        <v>714</v>
      </c>
      <c r="H715" s="18">
        <v>45874</v>
      </c>
      <c r="I715" s="36" t="s">
        <v>20</v>
      </c>
      <c r="J715" s="15">
        <v>936</v>
      </c>
      <c r="K715" s="15">
        <v>3</v>
      </c>
      <c r="L715" s="15">
        <v>879.84</v>
      </c>
      <c r="M715" s="16">
        <f t="shared" si="55"/>
        <v>293.28000000000003</v>
      </c>
      <c r="N715" s="15">
        <v>0</v>
      </c>
      <c r="O715" s="16">
        <f t="shared" si="56"/>
        <v>936</v>
      </c>
      <c r="P715" s="15" t="s">
        <v>18</v>
      </c>
      <c r="Q715" s="15">
        <v>0.06</v>
      </c>
      <c r="R715" s="16">
        <f t="shared" si="57"/>
        <v>56.16</v>
      </c>
      <c r="S715" s="15">
        <v>0</v>
      </c>
      <c r="T715" s="15">
        <v>0</v>
      </c>
      <c r="U715" s="17">
        <f t="shared" si="58"/>
        <v>56.16</v>
      </c>
      <c r="V715" s="12" t="s">
        <v>54</v>
      </c>
      <c r="W715" s="12">
        <v>125</v>
      </c>
    </row>
    <row r="716" spans="4:23" s="12" customFormat="1" ht="30.75" customHeight="1" thickTop="1" thickBot="1" x14ac:dyDescent="0.35">
      <c r="D716" s="10"/>
      <c r="G716" s="13">
        <f t="shared" si="59"/>
        <v>715</v>
      </c>
      <c r="H716" s="18">
        <v>45874</v>
      </c>
      <c r="I716" s="15" t="s">
        <v>21</v>
      </c>
      <c r="J716" s="15">
        <v>1730.4</v>
      </c>
      <c r="K716" s="15">
        <v>7</v>
      </c>
      <c r="L716" s="15">
        <v>1626.58</v>
      </c>
      <c r="M716" s="16">
        <f t="shared" si="55"/>
        <v>232.36857142857141</v>
      </c>
      <c r="N716" s="15">
        <v>0</v>
      </c>
      <c r="O716" s="16">
        <f t="shared" si="56"/>
        <v>1730.4</v>
      </c>
      <c r="P716" s="15" t="s">
        <v>18</v>
      </c>
      <c r="Q716" s="15">
        <v>0.06</v>
      </c>
      <c r="R716" s="16">
        <f t="shared" si="57"/>
        <v>103.824</v>
      </c>
      <c r="S716" s="15">
        <v>0</v>
      </c>
      <c r="T716" s="15">
        <v>0</v>
      </c>
      <c r="U716" s="17">
        <f t="shared" si="58"/>
        <v>103.824</v>
      </c>
      <c r="V716" s="12" t="s">
        <v>54</v>
      </c>
      <c r="W716" s="12">
        <v>125</v>
      </c>
    </row>
    <row r="717" spans="4:23" s="12" customFormat="1" ht="30.75" customHeight="1" thickTop="1" thickBot="1" x14ac:dyDescent="0.35">
      <c r="D717" s="10"/>
      <c r="G717" s="13">
        <f t="shared" si="59"/>
        <v>716</v>
      </c>
      <c r="H717" s="18">
        <v>45874</v>
      </c>
      <c r="I717" s="15" t="s">
        <v>22</v>
      </c>
      <c r="J717" s="15">
        <v>1346.25</v>
      </c>
      <c r="K717" s="15">
        <v>5</v>
      </c>
      <c r="L717" s="15">
        <v>1265.48</v>
      </c>
      <c r="M717" s="16">
        <f t="shared" si="55"/>
        <v>253.096</v>
      </c>
      <c r="N717" s="15">
        <v>0</v>
      </c>
      <c r="O717" s="16">
        <f t="shared" si="56"/>
        <v>1346.25</v>
      </c>
      <c r="P717" s="15" t="s">
        <v>18</v>
      </c>
      <c r="Q717" s="15">
        <v>0.06</v>
      </c>
      <c r="R717" s="16">
        <f t="shared" si="57"/>
        <v>80.774999999999991</v>
      </c>
      <c r="S717" s="15">
        <v>0</v>
      </c>
      <c r="T717" s="15">
        <v>0</v>
      </c>
      <c r="U717" s="17">
        <f t="shared" si="58"/>
        <v>80.774999999999991</v>
      </c>
      <c r="V717" s="12" t="s">
        <v>54</v>
      </c>
      <c r="W717" s="12">
        <v>125</v>
      </c>
    </row>
    <row r="718" spans="4:23" s="12" customFormat="1" ht="30.75" customHeight="1" thickTop="1" thickBot="1" x14ac:dyDescent="0.35">
      <c r="D718" s="10"/>
      <c r="G718" s="13">
        <f t="shared" si="59"/>
        <v>717</v>
      </c>
      <c r="H718" s="18">
        <v>45874</v>
      </c>
      <c r="I718" s="15" t="s">
        <v>23</v>
      </c>
      <c r="J718" s="15">
        <v>62400</v>
      </c>
      <c r="K718" s="15">
        <v>325</v>
      </c>
      <c r="L718" s="15">
        <v>58656</v>
      </c>
      <c r="M718" s="16">
        <f t="shared" si="55"/>
        <v>180.48</v>
      </c>
      <c r="N718" s="15">
        <v>0</v>
      </c>
      <c r="O718" s="16">
        <f t="shared" si="56"/>
        <v>62400</v>
      </c>
      <c r="P718" s="15" t="s">
        <v>18</v>
      </c>
      <c r="Q718" s="15">
        <v>0.06</v>
      </c>
      <c r="R718" s="16">
        <f t="shared" si="57"/>
        <v>3744</v>
      </c>
      <c r="S718" s="15">
        <v>0</v>
      </c>
      <c r="T718" s="15">
        <v>0</v>
      </c>
      <c r="U718" s="17">
        <f t="shared" si="58"/>
        <v>3744</v>
      </c>
      <c r="V718" s="12" t="s">
        <v>54</v>
      </c>
      <c r="W718" s="12">
        <v>125</v>
      </c>
    </row>
    <row r="719" spans="4:23" s="12" customFormat="1" ht="30.75" customHeight="1" thickTop="1" thickBot="1" x14ac:dyDescent="0.35">
      <c r="D719" s="10"/>
      <c r="G719" s="13">
        <f t="shared" si="59"/>
        <v>718</v>
      </c>
      <c r="H719" s="18">
        <v>45874</v>
      </c>
      <c r="I719" s="15" t="s">
        <v>24</v>
      </c>
      <c r="J719" s="15">
        <v>9101.1200000000008</v>
      </c>
      <c r="K719" s="15">
        <v>28</v>
      </c>
      <c r="L719" s="15">
        <v>8555.0499999999993</v>
      </c>
      <c r="M719" s="16">
        <f t="shared" si="55"/>
        <v>305.53749999999997</v>
      </c>
      <c r="N719" s="15">
        <v>0</v>
      </c>
      <c r="O719" s="16">
        <f t="shared" si="56"/>
        <v>9101.1200000000008</v>
      </c>
      <c r="P719" s="15" t="s">
        <v>18</v>
      </c>
      <c r="Q719" s="15">
        <v>0.06</v>
      </c>
      <c r="R719" s="16">
        <f t="shared" si="57"/>
        <v>546.06720000000007</v>
      </c>
      <c r="S719" s="15">
        <v>0</v>
      </c>
      <c r="T719" s="15">
        <v>0</v>
      </c>
      <c r="U719" s="17">
        <f t="shared" si="58"/>
        <v>546.06720000000007</v>
      </c>
      <c r="V719" s="12" t="s">
        <v>54</v>
      </c>
      <c r="W719" s="12">
        <v>125</v>
      </c>
    </row>
    <row r="720" spans="4:23" s="12" customFormat="1" ht="30.75" customHeight="1" thickTop="1" thickBot="1" x14ac:dyDescent="0.35">
      <c r="D720" s="10"/>
      <c r="G720" s="13">
        <f t="shared" si="59"/>
        <v>719</v>
      </c>
      <c r="H720" s="18">
        <v>45874</v>
      </c>
      <c r="I720" s="15" t="s">
        <v>31</v>
      </c>
      <c r="J720" s="15">
        <v>7680</v>
      </c>
      <c r="K720" s="15">
        <v>40</v>
      </c>
      <c r="L720" s="15">
        <v>7219.2</v>
      </c>
      <c r="M720" s="16">
        <f t="shared" si="55"/>
        <v>180.48</v>
      </c>
      <c r="N720" s="15">
        <v>0</v>
      </c>
      <c r="O720" s="16">
        <f t="shared" si="56"/>
        <v>7680</v>
      </c>
      <c r="P720" s="15" t="s">
        <v>18</v>
      </c>
      <c r="Q720" s="15">
        <v>0.06</v>
      </c>
      <c r="R720" s="16">
        <f t="shared" si="57"/>
        <v>460.79999999999995</v>
      </c>
      <c r="S720" s="15">
        <v>0</v>
      </c>
      <c r="T720" s="15">
        <v>0</v>
      </c>
      <c r="U720" s="17">
        <f t="shared" si="58"/>
        <v>460.79999999999995</v>
      </c>
      <c r="V720" s="12" t="s">
        <v>54</v>
      </c>
      <c r="W720" s="12">
        <v>125</v>
      </c>
    </row>
    <row r="721" spans="4:23" s="12" customFormat="1" ht="30.75" customHeight="1" thickTop="1" thickBot="1" x14ac:dyDescent="0.35">
      <c r="D721" s="10"/>
      <c r="G721" s="13">
        <f t="shared" si="59"/>
        <v>720</v>
      </c>
      <c r="H721" s="18">
        <v>45874</v>
      </c>
      <c r="I721" s="15" t="s">
        <v>36</v>
      </c>
      <c r="J721" s="15">
        <v>975.12</v>
      </c>
      <c r="K721" s="15">
        <v>3</v>
      </c>
      <c r="L721" s="15">
        <v>916.61</v>
      </c>
      <c r="M721" s="16">
        <f t="shared" si="55"/>
        <v>305.53666666666669</v>
      </c>
      <c r="N721" s="15">
        <v>0</v>
      </c>
      <c r="O721" s="16">
        <f t="shared" si="56"/>
        <v>975.12</v>
      </c>
      <c r="P721" s="15" t="s">
        <v>18</v>
      </c>
      <c r="Q721" s="15">
        <v>0.06</v>
      </c>
      <c r="R721" s="16">
        <f t="shared" si="57"/>
        <v>58.507199999999997</v>
      </c>
      <c r="S721" s="15">
        <v>0</v>
      </c>
      <c r="T721" s="15">
        <v>0</v>
      </c>
      <c r="U721" s="17">
        <f t="shared" si="58"/>
        <v>58.507199999999997</v>
      </c>
      <c r="V721" s="12" t="s">
        <v>54</v>
      </c>
      <c r="W721" s="12">
        <v>125</v>
      </c>
    </row>
    <row r="722" spans="4:23" s="12" customFormat="1" ht="30.75" customHeight="1" thickTop="1" thickBot="1" x14ac:dyDescent="0.35">
      <c r="D722" s="10"/>
      <c r="G722" s="13">
        <f t="shared" si="59"/>
        <v>721</v>
      </c>
      <c r="H722" s="18">
        <v>45878</v>
      </c>
      <c r="I722" s="15" t="s">
        <v>32</v>
      </c>
      <c r="J722" s="15">
        <v>29700</v>
      </c>
      <c r="K722" s="15">
        <v>50</v>
      </c>
      <c r="L722" s="15">
        <v>26581.5</v>
      </c>
      <c r="M722" s="16">
        <f t="shared" si="55"/>
        <v>531.63</v>
      </c>
      <c r="N722" s="15">
        <v>0</v>
      </c>
      <c r="O722" s="16">
        <f t="shared" si="56"/>
        <v>29700</v>
      </c>
      <c r="P722" s="15" t="s">
        <v>33</v>
      </c>
      <c r="Q722" s="15">
        <v>0.01</v>
      </c>
      <c r="R722" s="16">
        <f t="shared" si="57"/>
        <v>297</v>
      </c>
      <c r="S722" s="15">
        <v>0</v>
      </c>
      <c r="T722" s="15">
        <v>0</v>
      </c>
      <c r="U722" s="17">
        <f t="shared" si="58"/>
        <v>297</v>
      </c>
      <c r="V722" s="12" t="s">
        <v>54</v>
      </c>
      <c r="W722" s="12">
        <v>89</v>
      </c>
    </row>
    <row r="723" spans="4:23" s="12" customFormat="1" ht="30.75" customHeight="1" thickTop="1" thickBot="1" x14ac:dyDescent="0.35">
      <c r="D723" s="10"/>
      <c r="G723" s="13">
        <f t="shared" si="59"/>
        <v>722</v>
      </c>
      <c r="H723" s="18">
        <v>45878</v>
      </c>
      <c r="I723" s="36" t="s">
        <v>47</v>
      </c>
      <c r="J723" s="15">
        <v>9003</v>
      </c>
      <c r="K723" s="15">
        <v>25</v>
      </c>
      <c r="L723" s="15">
        <v>8102.7</v>
      </c>
      <c r="M723" s="16">
        <f t="shared" si="55"/>
        <v>324.108</v>
      </c>
      <c r="N723" s="15">
        <v>0</v>
      </c>
      <c r="O723" s="16">
        <f t="shared" si="56"/>
        <v>9003</v>
      </c>
      <c r="P723" s="15" t="s">
        <v>26</v>
      </c>
      <c r="Q723" s="15">
        <v>0.02</v>
      </c>
      <c r="R723" s="16">
        <f t="shared" si="57"/>
        <v>180.06</v>
      </c>
      <c r="S723" s="15">
        <v>0</v>
      </c>
      <c r="T723" s="15">
        <v>0</v>
      </c>
      <c r="U723" s="17">
        <f t="shared" si="58"/>
        <v>180.06</v>
      </c>
      <c r="V723" s="12" t="s">
        <v>54</v>
      </c>
      <c r="W723" s="12">
        <v>89</v>
      </c>
    </row>
    <row r="724" spans="4:23" s="12" customFormat="1" ht="30.75" customHeight="1" thickTop="1" thickBot="1" x14ac:dyDescent="0.35">
      <c r="D724" s="10"/>
      <c r="G724" s="13">
        <f t="shared" si="59"/>
        <v>723</v>
      </c>
      <c r="H724" s="18">
        <v>45878</v>
      </c>
      <c r="I724" s="36" t="s">
        <v>39</v>
      </c>
      <c r="J724" s="15">
        <v>18006</v>
      </c>
      <c r="K724" s="15">
        <v>50</v>
      </c>
      <c r="L724" s="15">
        <v>16205.4</v>
      </c>
      <c r="M724" s="16">
        <f t="shared" si="55"/>
        <v>324.108</v>
      </c>
      <c r="N724" s="15">
        <v>0</v>
      </c>
      <c r="O724" s="16">
        <f t="shared" si="56"/>
        <v>18006</v>
      </c>
      <c r="P724" s="15" t="s">
        <v>26</v>
      </c>
      <c r="Q724" s="15">
        <v>0.02</v>
      </c>
      <c r="R724" s="16">
        <f t="shared" si="57"/>
        <v>360.12</v>
      </c>
      <c r="S724" s="15">
        <v>0</v>
      </c>
      <c r="T724" s="15">
        <v>0</v>
      </c>
      <c r="U724" s="17">
        <f t="shared" si="58"/>
        <v>360.12</v>
      </c>
      <c r="V724" s="12" t="s">
        <v>54</v>
      </c>
      <c r="W724" s="12">
        <v>89</v>
      </c>
    </row>
    <row r="725" spans="4:23" s="12" customFormat="1" ht="30.75" customHeight="1" thickTop="1" thickBot="1" x14ac:dyDescent="0.35">
      <c r="D725" s="10"/>
      <c r="G725" s="13">
        <f t="shared" si="59"/>
        <v>724</v>
      </c>
      <c r="H725" s="18">
        <v>45878</v>
      </c>
      <c r="I725" s="15" t="s">
        <v>30</v>
      </c>
      <c r="J725" s="15">
        <v>61450</v>
      </c>
      <c r="K725" s="15">
        <v>200</v>
      </c>
      <c r="L725" s="15">
        <v>46333.3</v>
      </c>
      <c r="M725" s="16">
        <f t="shared" si="55"/>
        <v>231.66650000000001</v>
      </c>
      <c r="N725" s="15">
        <v>0</v>
      </c>
      <c r="O725" s="16">
        <f t="shared" si="56"/>
        <v>61450</v>
      </c>
      <c r="P725" s="15" t="s">
        <v>18</v>
      </c>
      <c r="Q725" s="15">
        <v>0.06</v>
      </c>
      <c r="R725" s="16">
        <f t="shared" si="57"/>
        <v>3687</v>
      </c>
      <c r="S725" s="15">
        <v>0</v>
      </c>
      <c r="T725" s="15">
        <v>0</v>
      </c>
      <c r="U725" s="17">
        <f t="shared" si="58"/>
        <v>3687</v>
      </c>
      <c r="V725" s="12" t="s">
        <v>54</v>
      </c>
      <c r="W725" s="12">
        <v>89</v>
      </c>
    </row>
    <row r="726" spans="4:23" s="12" customFormat="1" ht="30.75" customHeight="1" thickTop="1" thickBot="1" x14ac:dyDescent="0.35">
      <c r="D726" s="10"/>
      <c r="G726" s="13">
        <f t="shared" si="59"/>
        <v>725</v>
      </c>
      <c r="H726" s="18">
        <v>45878</v>
      </c>
      <c r="I726" s="15" t="s">
        <v>17</v>
      </c>
      <c r="J726" s="15">
        <v>92175</v>
      </c>
      <c r="K726" s="15">
        <v>300</v>
      </c>
      <c r="L726" s="15">
        <v>69499.95</v>
      </c>
      <c r="M726" s="16">
        <f t="shared" si="55"/>
        <v>231.66649999999998</v>
      </c>
      <c r="N726" s="15">
        <v>0</v>
      </c>
      <c r="O726" s="16">
        <f t="shared" si="56"/>
        <v>92175</v>
      </c>
      <c r="P726" s="15" t="s">
        <v>18</v>
      </c>
      <c r="Q726" s="15">
        <v>0.06</v>
      </c>
      <c r="R726" s="16">
        <f t="shared" si="57"/>
        <v>5530.5</v>
      </c>
      <c r="S726" s="15">
        <v>0</v>
      </c>
      <c r="T726" s="15">
        <v>0</v>
      </c>
      <c r="U726" s="17">
        <f t="shared" si="58"/>
        <v>5530.5</v>
      </c>
      <c r="V726" s="12" t="s">
        <v>54</v>
      </c>
      <c r="W726" s="12">
        <v>89</v>
      </c>
    </row>
    <row r="727" spans="4:23" s="12" customFormat="1" ht="30.75" customHeight="1" thickTop="1" thickBot="1" x14ac:dyDescent="0.35">
      <c r="D727" s="10"/>
      <c r="G727" s="13">
        <f t="shared" si="59"/>
        <v>726</v>
      </c>
      <c r="H727" s="18">
        <v>45878</v>
      </c>
      <c r="I727" s="15" t="s">
        <v>35</v>
      </c>
      <c r="J727" s="15">
        <v>1752</v>
      </c>
      <c r="K727" s="15">
        <v>10</v>
      </c>
      <c r="L727" s="15">
        <v>1646.88</v>
      </c>
      <c r="M727" s="16">
        <f t="shared" si="55"/>
        <v>164.68800000000002</v>
      </c>
      <c r="N727" s="15">
        <v>0</v>
      </c>
      <c r="O727" s="16">
        <f t="shared" si="56"/>
        <v>1752</v>
      </c>
      <c r="P727" s="15" t="s">
        <v>18</v>
      </c>
      <c r="Q727" s="15">
        <v>0.06</v>
      </c>
      <c r="R727" s="16">
        <f t="shared" si="57"/>
        <v>105.11999999999999</v>
      </c>
      <c r="S727" s="15">
        <v>0</v>
      </c>
      <c r="T727" s="15">
        <v>0</v>
      </c>
      <c r="U727" s="17">
        <f t="shared" si="58"/>
        <v>105.11999999999999</v>
      </c>
      <c r="V727" s="12" t="s">
        <v>54</v>
      </c>
      <c r="W727" s="12">
        <v>89</v>
      </c>
    </row>
    <row r="728" spans="4:23" s="12" customFormat="1" ht="30.75" customHeight="1" thickTop="1" thickBot="1" x14ac:dyDescent="0.35">
      <c r="D728" s="10"/>
      <c r="G728" s="13">
        <f t="shared" si="59"/>
        <v>727</v>
      </c>
      <c r="H728" s="18">
        <v>45878</v>
      </c>
      <c r="I728" s="15" t="s">
        <v>21</v>
      </c>
      <c r="J728" s="15">
        <v>3708</v>
      </c>
      <c r="K728" s="15">
        <v>15</v>
      </c>
      <c r="L728" s="15">
        <v>3485.52</v>
      </c>
      <c r="M728" s="16">
        <f t="shared" si="55"/>
        <v>232.36799999999999</v>
      </c>
      <c r="N728" s="15">
        <v>0</v>
      </c>
      <c r="O728" s="16">
        <f t="shared" si="56"/>
        <v>3708</v>
      </c>
      <c r="P728" s="15" t="s">
        <v>18</v>
      </c>
      <c r="Q728" s="15">
        <v>0.06</v>
      </c>
      <c r="R728" s="16">
        <f t="shared" si="57"/>
        <v>222.48</v>
      </c>
      <c r="S728" s="15">
        <v>0</v>
      </c>
      <c r="T728" s="15">
        <v>0</v>
      </c>
      <c r="U728" s="17">
        <f t="shared" si="58"/>
        <v>222.48</v>
      </c>
      <c r="V728" s="12" t="s">
        <v>54</v>
      </c>
      <c r="W728" s="12">
        <v>89</v>
      </c>
    </row>
    <row r="729" spans="4:23" s="12" customFormat="1" ht="30.75" customHeight="1" thickTop="1" thickBot="1" x14ac:dyDescent="0.35">
      <c r="D729" s="10"/>
      <c r="G729" s="13">
        <f t="shared" si="59"/>
        <v>728</v>
      </c>
      <c r="H729" s="18">
        <v>45878</v>
      </c>
      <c r="I729" s="15" t="s">
        <v>23</v>
      </c>
      <c r="J729" s="15">
        <v>28800</v>
      </c>
      <c r="K729" s="15">
        <v>150</v>
      </c>
      <c r="L729" s="15">
        <v>27072</v>
      </c>
      <c r="M729" s="16">
        <f t="shared" si="55"/>
        <v>180.48</v>
      </c>
      <c r="N729" s="15">
        <v>0</v>
      </c>
      <c r="O729" s="16">
        <f t="shared" si="56"/>
        <v>28800</v>
      </c>
      <c r="P729" s="15" t="s">
        <v>18</v>
      </c>
      <c r="Q729" s="15">
        <v>0.06</v>
      </c>
      <c r="R729" s="16">
        <f t="shared" si="57"/>
        <v>1728</v>
      </c>
      <c r="S729" s="15">
        <v>0</v>
      </c>
      <c r="T729" s="15">
        <v>0</v>
      </c>
      <c r="U729" s="17">
        <f t="shared" si="58"/>
        <v>1728</v>
      </c>
      <c r="V729" s="12" t="s">
        <v>54</v>
      </c>
      <c r="W729" s="12">
        <v>89</v>
      </c>
    </row>
    <row r="730" spans="4:23" s="12" customFormat="1" ht="30.75" customHeight="1" thickTop="1" thickBot="1" x14ac:dyDescent="0.35">
      <c r="D730" s="10"/>
      <c r="G730" s="13">
        <f t="shared" si="59"/>
        <v>729</v>
      </c>
      <c r="H730" s="18">
        <v>45878</v>
      </c>
      <c r="I730" s="15" t="s">
        <v>24</v>
      </c>
      <c r="J730" s="15">
        <v>11376.4</v>
      </c>
      <c r="K730" s="15">
        <v>35</v>
      </c>
      <c r="L730" s="15">
        <v>10693.82</v>
      </c>
      <c r="M730" s="16">
        <f t="shared" si="55"/>
        <v>305.53771428571429</v>
      </c>
      <c r="N730" s="15">
        <v>0</v>
      </c>
      <c r="O730" s="16">
        <f t="shared" si="56"/>
        <v>11376.4</v>
      </c>
      <c r="P730" s="15" t="s">
        <v>18</v>
      </c>
      <c r="Q730" s="15">
        <v>0.06</v>
      </c>
      <c r="R730" s="16">
        <f t="shared" si="57"/>
        <v>682.58399999999995</v>
      </c>
      <c r="S730" s="15">
        <v>0</v>
      </c>
      <c r="T730" s="15">
        <v>0</v>
      </c>
      <c r="U730" s="17">
        <f t="shared" si="58"/>
        <v>682.58399999999995</v>
      </c>
      <c r="V730" s="12" t="s">
        <v>54</v>
      </c>
      <c r="W730" s="12">
        <v>89</v>
      </c>
    </row>
    <row r="731" spans="4:23" s="12" customFormat="1" ht="30.75" customHeight="1" thickTop="1" thickBot="1" x14ac:dyDescent="0.35">
      <c r="D731" s="10"/>
      <c r="G731" s="13">
        <f t="shared" si="59"/>
        <v>730</v>
      </c>
      <c r="H731" s="18">
        <v>45878</v>
      </c>
      <c r="I731" s="15" t="s">
        <v>31</v>
      </c>
      <c r="J731" s="15">
        <v>5760</v>
      </c>
      <c r="K731" s="15">
        <v>30</v>
      </c>
      <c r="L731" s="15">
        <v>5414.4</v>
      </c>
      <c r="M731" s="16">
        <f t="shared" si="55"/>
        <v>180.48</v>
      </c>
      <c r="N731" s="15">
        <v>0</v>
      </c>
      <c r="O731" s="16">
        <f t="shared" si="56"/>
        <v>5760</v>
      </c>
      <c r="P731" s="15" t="s">
        <v>18</v>
      </c>
      <c r="Q731" s="15">
        <v>0.06</v>
      </c>
      <c r="R731" s="16">
        <f t="shared" si="57"/>
        <v>345.59999999999997</v>
      </c>
      <c r="S731" s="15">
        <v>0</v>
      </c>
      <c r="T731" s="15">
        <v>0</v>
      </c>
      <c r="U731" s="17">
        <f t="shared" si="58"/>
        <v>345.59999999999997</v>
      </c>
      <c r="V731" s="12" t="s">
        <v>54</v>
      </c>
      <c r="W731" s="12">
        <v>89</v>
      </c>
    </row>
    <row r="732" spans="4:23" s="12" customFormat="1" ht="30.75" customHeight="1" thickTop="1" thickBot="1" x14ac:dyDescent="0.35">
      <c r="D732" s="10"/>
      <c r="G732" s="13">
        <f t="shared" si="59"/>
        <v>731</v>
      </c>
      <c r="H732" s="18">
        <v>45878</v>
      </c>
      <c r="I732" s="15" t="s">
        <v>30</v>
      </c>
      <c r="J732" s="15">
        <v>61450</v>
      </c>
      <c r="K732" s="15">
        <v>200</v>
      </c>
      <c r="L732" s="15">
        <v>46333.3</v>
      </c>
      <c r="M732" s="16">
        <f t="shared" si="55"/>
        <v>231.66650000000001</v>
      </c>
      <c r="N732" s="15">
        <v>0</v>
      </c>
      <c r="O732" s="16">
        <f t="shared" si="56"/>
        <v>61450</v>
      </c>
      <c r="P732" s="15" t="s">
        <v>18</v>
      </c>
      <c r="Q732" s="15">
        <v>0.06</v>
      </c>
      <c r="R732" s="16">
        <f t="shared" si="57"/>
        <v>3687</v>
      </c>
      <c r="S732" s="15">
        <v>0</v>
      </c>
      <c r="T732" s="15">
        <v>0</v>
      </c>
      <c r="U732" s="17">
        <f t="shared" si="58"/>
        <v>3687</v>
      </c>
      <c r="V732" s="12" t="s">
        <v>54</v>
      </c>
      <c r="W732" s="12">
        <v>126</v>
      </c>
    </row>
    <row r="733" spans="4:23" s="12" customFormat="1" ht="30.75" customHeight="1" thickTop="1" thickBot="1" x14ac:dyDescent="0.35">
      <c r="D733" s="10"/>
      <c r="G733" s="13">
        <f t="shared" si="59"/>
        <v>732</v>
      </c>
      <c r="H733" s="18">
        <v>45878</v>
      </c>
      <c r="I733" s="15" t="s">
        <v>17</v>
      </c>
      <c r="J733" s="15">
        <v>92175</v>
      </c>
      <c r="K733" s="15">
        <v>300</v>
      </c>
      <c r="L733" s="15">
        <v>69499.95</v>
      </c>
      <c r="M733" s="16">
        <f t="shared" si="55"/>
        <v>231.66649999999998</v>
      </c>
      <c r="N733" s="15">
        <v>0</v>
      </c>
      <c r="O733" s="16">
        <f t="shared" si="56"/>
        <v>92175</v>
      </c>
      <c r="P733" s="15" t="s">
        <v>18</v>
      </c>
      <c r="Q733" s="15">
        <v>0.06</v>
      </c>
      <c r="R733" s="16">
        <f t="shared" si="57"/>
        <v>5530.5</v>
      </c>
      <c r="S733" s="15">
        <v>0</v>
      </c>
      <c r="T733" s="15">
        <v>0</v>
      </c>
      <c r="U733" s="17">
        <f t="shared" si="58"/>
        <v>5530.5</v>
      </c>
      <c r="V733" s="12" t="s">
        <v>54</v>
      </c>
      <c r="W733" s="12">
        <v>126</v>
      </c>
    </row>
    <row r="734" spans="4:23" s="12" customFormat="1" ht="30.75" customHeight="1" thickTop="1" thickBot="1" x14ac:dyDescent="0.35">
      <c r="D734" s="10"/>
      <c r="G734" s="13">
        <f t="shared" si="59"/>
        <v>733</v>
      </c>
      <c r="H734" s="18">
        <v>45878</v>
      </c>
      <c r="I734" s="15" t="s">
        <v>35</v>
      </c>
      <c r="J734" s="15">
        <v>4204.8</v>
      </c>
      <c r="K734" s="15">
        <v>24</v>
      </c>
      <c r="L734" s="15">
        <v>3658.18</v>
      </c>
      <c r="M734" s="16">
        <f t="shared" si="55"/>
        <v>152.42416666666665</v>
      </c>
      <c r="N734" s="15">
        <v>0</v>
      </c>
      <c r="O734" s="16">
        <f t="shared" si="56"/>
        <v>4204.8</v>
      </c>
      <c r="P734" s="15" t="s">
        <v>18</v>
      </c>
      <c r="Q734" s="15">
        <v>0.06</v>
      </c>
      <c r="R734" s="16">
        <f t="shared" si="57"/>
        <v>252.28800000000001</v>
      </c>
      <c r="S734" s="15">
        <v>0</v>
      </c>
      <c r="T734" s="15">
        <v>0</v>
      </c>
      <c r="U734" s="17">
        <f t="shared" si="58"/>
        <v>252.28800000000001</v>
      </c>
      <c r="V734" s="12" t="s">
        <v>54</v>
      </c>
      <c r="W734" s="12">
        <v>126</v>
      </c>
    </row>
    <row r="735" spans="4:23" s="12" customFormat="1" ht="30.75" customHeight="1" thickTop="1" thickBot="1" x14ac:dyDescent="0.35">
      <c r="D735" s="10"/>
      <c r="G735" s="13">
        <f t="shared" si="59"/>
        <v>734</v>
      </c>
      <c r="H735" s="18">
        <v>45878</v>
      </c>
      <c r="I735" s="36" t="s">
        <v>20</v>
      </c>
      <c r="J735" s="15">
        <v>1560</v>
      </c>
      <c r="K735" s="15">
        <v>5</v>
      </c>
      <c r="L735" s="15">
        <v>1466.4</v>
      </c>
      <c r="M735" s="16">
        <f t="shared" si="55"/>
        <v>293.28000000000003</v>
      </c>
      <c r="N735" s="15">
        <v>0</v>
      </c>
      <c r="O735" s="16">
        <f t="shared" si="56"/>
        <v>1560</v>
      </c>
      <c r="P735" s="15" t="s">
        <v>18</v>
      </c>
      <c r="Q735" s="15">
        <v>0.06</v>
      </c>
      <c r="R735" s="16">
        <f t="shared" si="57"/>
        <v>93.6</v>
      </c>
      <c r="S735" s="15">
        <v>0</v>
      </c>
      <c r="T735" s="15">
        <v>0</v>
      </c>
      <c r="U735" s="17">
        <f t="shared" si="58"/>
        <v>93.6</v>
      </c>
      <c r="V735" s="12" t="s">
        <v>54</v>
      </c>
      <c r="W735" s="12">
        <v>126</v>
      </c>
    </row>
    <row r="736" spans="4:23" s="12" customFormat="1" ht="30.75" customHeight="1" thickTop="1" thickBot="1" x14ac:dyDescent="0.35">
      <c r="D736" s="10"/>
      <c r="G736" s="13">
        <f t="shared" si="59"/>
        <v>735</v>
      </c>
      <c r="H736" s="18">
        <v>45878</v>
      </c>
      <c r="I736" s="15" t="s">
        <v>21</v>
      </c>
      <c r="J736" s="15">
        <v>2472</v>
      </c>
      <c r="K736" s="15">
        <v>10</v>
      </c>
      <c r="L736" s="15">
        <v>2323.6799999999998</v>
      </c>
      <c r="M736" s="16">
        <f t="shared" si="55"/>
        <v>232.36799999999999</v>
      </c>
      <c r="N736" s="15">
        <v>0</v>
      </c>
      <c r="O736" s="16">
        <f t="shared" si="56"/>
        <v>2472</v>
      </c>
      <c r="P736" s="15" t="s">
        <v>18</v>
      </c>
      <c r="Q736" s="15">
        <v>0.06</v>
      </c>
      <c r="R736" s="16">
        <f t="shared" si="57"/>
        <v>148.32</v>
      </c>
      <c r="S736" s="15">
        <v>0</v>
      </c>
      <c r="T736" s="15">
        <v>0</v>
      </c>
      <c r="U736" s="17">
        <f t="shared" si="58"/>
        <v>148.32</v>
      </c>
      <c r="V736" s="12" t="s">
        <v>54</v>
      </c>
      <c r="W736" s="12">
        <v>126</v>
      </c>
    </row>
    <row r="737" spans="4:23" s="12" customFormat="1" ht="30.75" customHeight="1" thickTop="1" thickBot="1" x14ac:dyDescent="0.35">
      <c r="D737" s="10"/>
      <c r="G737" s="13">
        <f t="shared" si="59"/>
        <v>736</v>
      </c>
      <c r="H737" s="18">
        <v>45878</v>
      </c>
      <c r="I737" s="15" t="s">
        <v>22</v>
      </c>
      <c r="J737" s="15">
        <v>2692.5</v>
      </c>
      <c r="K737" s="15">
        <v>10</v>
      </c>
      <c r="L737" s="15">
        <v>2530.9499999999998</v>
      </c>
      <c r="M737" s="16">
        <f t="shared" si="55"/>
        <v>253.09499999999997</v>
      </c>
      <c r="N737" s="15">
        <v>0</v>
      </c>
      <c r="O737" s="16">
        <f t="shared" si="56"/>
        <v>2692.5</v>
      </c>
      <c r="P737" s="15" t="s">
        <v>18</v>
      </c>
      <c r="Q737" s="15">
        <v>0.06</v>
      </c>
      <c r="R737" s="16">
        <f t="shared" si="57"/>
        <v>161.54999999999998</v>
      </c>
      <c r="S737" s="15">
        <v>0</v>
      </c>
      <c r="T737" s="15">
        <v>0</v>
      </c>
      <c r="U737" s="17">
        <f t="shared" si="58"/>
        <v>161.54999999999998</v>
      </c>
      <c r="V737" s="12" t="s">
        <v>54</v>
      </c>
      <c r="W737" s="12">
        <v>126</v>
      </c>
    </row>
    <row r="738" spans="4:23" s="12" customFormat="1" ht="30.75" customHeight="1" thickTop="1" thickBot="1" x14ac:dyDescent="0.35">
      <c r="D738" s="10"/>
      <c r="G738" s="13">
        <f t="shared" si="59"/>
        <v>737</v>
      </c>
      <c r="H738" s="18">
        <v>45878</v>
      </c>
      <c r="I738" s="15" t="s">
        <v>23</v>
      </c>
      <c r="J738" s="15">
        <v>48000</v>
      </c>
      <c r="K738" s="15">
        <v>250</v>
      </c>
      <c r="L738" s="15">
        <v>45120</v>
      </c>
      <c r="M738" s="16">
        <f t="shared" si="55"/>
        <v>180.48</v>
      </c>
      <c r="N738" s="15">
        <v>0</v>
      </c>
      <c r="O738" s="16">
        <f t="shared" si="56"/>
        <v>48000</v>
      </c>
      <c r="P738" s="15" t="s">
        <v>18</v>
      </c>
      <c r="Q738" s="15">
        <v>0.06</v>
      </c>
      <c r="R738" s="16">
        <f t="shared" si="57"/>
        <v>2880</v>
      </c>
      <c r="S738" s="15">
        <v>0</v>
      </c>
      <c r="T738" s="15">
        <v>0</v>
      </c>
      <c r="U738" s="17">
        <f t="shared" si="58"/>
        <v>2880</v>
      </c>
      <c r="V738" s="12" t="s">
        <v>54</v>
      </c>
      <c r="W738" s="12">
        <v>126</v>
      </c>
    </row>
    <row r="739" spans="4:23" s="12" customFormat="1" ht="30.75" customHeight="1" thickTop="1" thickBot="1" x14ac:dyDescent="0.35">
      <c r="D739" s="10"/>
      <c r="G739" s="13">
        <f t="shared" si="59"/>
        <v>738</v>
      </c>
      <c r="H739" s="18">
        <v>45878</v>
      </c>
      <c r="I739" s="15" t="s">
        <v>31</v>
      </c>
      <c r="J739" s="15">
        <v>5184</v>
      </c>
      <c r="K739" s="15">
        <v>27</v>
      </c>
      <c r="L739" s="15">
        <v>4872.96</v>
      </c>
      <c r="M739" s="16">
        <f t="shared" si="55"/>
        <v>180.48</v>
      </c>
      <c r="N739" s="15">
        <v>0</v>
      </c>
      <c r="O739" s="16">
        <f t="shared" si="56"/>
        <v>5184</v>
      </c>
      <c r="P739" s="15" t="s">
        <v>18</v>
      </c>
      <c r="Q739" s="15">
        <v>0.06</v>
      </c>
      <c r="R739" s="16">
        <f t="shared" si="57"/>
        <v>311.03999999999996</v>
      </c>
      <c r="S739" s="15">
        <v>0</v>
      </c>
      <c r="T739" s="15">
        <v>0</v>
      </c>
      <c r="U739" s="17">
        <f t="shared" si="58"/>
        <v>311.03999999999996</v>
      </c>
      <c r="V739" s="12" t="s">
        <v>54</v>
      </c>
      <c r="W739" s="12">
        <v>126</v>
      </c>
    </row>
    <row r="740" spans="4:23" s="12" customFormat="1" ht="30.75" customHeight="1" thickTop="1" thickBot="1" x14ac:dyDescent="0.35">
      <c r="D740" s="10"/>
      <c r="G740" s="13">
        <f t="shared" si="59"/>
        <v>739</v>
      </c>
      <c r="H740" s="18">
        <v>45881</v>
      </c>
      <c r="I740" s="36" t="s">
        <v>39</v>
      </c>
      <c r="J740" s="15">
        <v>18006</v>
      </c>
      <c r="K740" s="15">
        <v>50</v>
      </c>
      <c r="L740" s="15">
        <v>16205.4</v>
      </c>
      <c r="M740" s="16">
        <f t="shared" si="55"/>
        <v>324.108</v>
      </c>
      <c r="N740" s="15">
        <v>0</v>
      </c>
      <c r="O740" s="16">
        <f t="shared" si="56"/>
        <v>18006</v>
      </c>
      <c r="P740" s="15" t="s">
        <v>26</v>
      </c>
      <c r="Q740" s="15">
        <v>0.02</v>
      </c>
      <c r="R740" s="16">
        <f t="shared" si="57"/>
        <v>360.12</v>
      </c>
      <c r="S740" s="15">
        <v>0</v>
      </c>
      <c r="T740" s="15">
        <v>0</v>
      </c>
      <c r="U740" s="17">
        <f t="shared" si="58"/>
        <v>360.12</v>
      </c>
      <c r="V740" s="12" t="s">
        <v>54</v>
      </c>
      <c r="W740" s="12">
        <v>90</v>
      </c>
    </row>
    <row r="741" spans="4:23" s="12" customFormat="1" ht="30.75" customHeight="1" thickTop="1" thickBot="1" x14ac:dyDescent="0.35">
      <c r="D741" s="10"/>
      <c r="G741" s="13">
        <f t="shared" si="59"/>
        <v>740</v>
      </c>
      <c r="H741" s="18">
        <v>45881</v>
      </c>
      <c r="I741" s="15" t="s">
        <v>25</v>
      </c>
      <c r="J741" s="15">
        <v>24002</v>
      </c>
      <c r="K741" s="15">
        <v>100</v>
      </c>
      <c r="L741" s="15">
        <v>19016.78</v>
      </c>
      <c r="M741" s="16">
        <f t="shared" si="55"/>
        <v>190.1678</v>
      </c>
      <c r="N741" s="15">
        <v>0</v>
      </c>
      <c r="O741" s="16">
        <f t="shared" si="56"/>
        <v>24002</v>
      </c>
      <c r="P741" s="15" t="s">
        <v>26</v>
      </c>
      <c r="Q741" s="15">
        <v>0.02</v>
      </c>
      <c r="R741" s="16">
        <f t="shared" si="57"/>
        <v>480.04</v>
      </c>
      <c r="S741" s="15">
        <v>0</v>
      </c>
      <c r="T741" s="15">
        <v>0</v>
      </c>
      <c r="U741" s="17">
        <f t="shared" si="58"/>
        <v>480.04</v>
      </c>
      <c r="V741" s="12" t="s">
        <v>54</v>
      </c>
      <c r="W741" s="12">
        <v>90</v>
      </c>
    </row>
    <row r="742" spans="4:23" s="12" customFormat="1" ht="30.75" customHeight="1" thickTop="1" thickBot="1" x14ac:dyDescent="0.35">
      <c r="D742" s="10"/>
      <c r="G742" s="13">
        <f t="shared" si="59"/>
        <v>741</v>
      </c>
      <c r="H742" s="18">
        <v>45881</v>
      </c>
      <c r="I742" s="15" t="s">
        <v>41</v>
      </c>
      <c r="J742" s="15">
        <v>47077.8</v>
      </c>
      <c r="K742" s="15">
        <v>350</v>
      </c>
      <c r="L742" s="15">
        <v>38627.31</v>
      </c>
      <c r="M742" s="16">
        <f t="shared" si="55"/>
        <v>110.36374285714285</v>
      </c>
      <c r="N742" s="15">
        <v>0</v>
      </c>
      <c r="O742" s="16">
        <f t="shared" si="56"/>
        <v>47077.8</v>
      </c>
      <c r="P742" s="15" t="s">
        <v>26</v>
      </c>
      <c r="Q742" s="15">
        <v>0.02</v>
      </c>
      <c r="R742" s="16">
        <f t="shared" si="57"/>
        <v>941.55600000000004</v>
      </c>
      <c r="S742" s="15">
        <v>0</v>
      </c>
      <c r="T742" s="15">
        <v>0</v>
      </c>
      <c r="U742" s="17">
        <f t="shared" si="58"/>
        <v>941.55600000000004</v>
      </c>
      <c r="V742" s="12" t="s">
        <v>54</v>
      </c>
      <c r="W742" s="12">
        <v>90</v>
      </c>
    </row>
    <row r="743" spans="4:23" s="12" customFormat="1" ht="30.75" customHeight="1" thickTop="1" thickBot="1" x14ac:dyDescent="0.35">
      <c r="D743" s="10"/>
      <c r="G743" s="13">
        <f t="shared" si="59"/>
        <v>742</v>
      </c>
      <c r="H743" s="18">
        <v>45881</v>
      </c>
      <c r="I743" s="15" t="s">
        <v>30</v>
      </c>
      <c r="J743" s="15">
        <v>46087.5</v>
      </c>
      <c r="K743" s="15">
        <v>150</v>
      </c>
      <c r="L743" s="15">
        <v>34749.980000000003</v>
      </c>
      <c r="M743" s="16">
        <f t="shared" si="55"/>
        <v>231.66653333333335</v>
      </c>
      <c r="N743" s="15">
        <v>0</v>
      </c>
      <c r="O743" s="16">
        <f t="shared" si="56"/>
        <v>46087.5</v>
      </c>
      <c r="P743" s="15" t="s">
        <v>18</v>
      </c>
      <c r="Q743" s="15">
        <v>0.06</v>
      </c>
      <c r="R743" s="16">
        <f t="shared" si="57"/>
        <v>2765.25</v>
      </c>
      <c r="S743" s="15">
        <v>0</v>
      </c>
      <c r="T743" s="15">
        <v>0</v>
      </c>
      <c r="U743" s="17">
        <f t="shared" si="58"/>
        <v>2765.25</v>
      </c>
      <c r="V743" s="12" t="s">
        <v>54</v>
      </c>
      <c r="W743" s="12">
        <v>90</v>
      </c>
    </row>
    <row r="744" spans="4:23" s="12" customFormat="1" ht="30.75" customHeight="1" thickTop="1" thickBot="1" x14ac:dyDescent="0.35">
      <c r="D744" s="10"/>
      <c r="G744" s="13">
        <f t="shared" si="59"/>
        <v>743</v>
      </c>
      <c r="H744" s="18">
        <v>45881</v>
      </c>
      <c r="I744" s="15" t="s">
        <v>17</v>
      </c>
      <c r="J744" s="15">
        <v>61450</v>
      </c>
      <c r="K744" s="15">
        <v>200</v>
      </c>
      <c r="L744" s="15">
        <v>46333.3</v>
      </c>
      <c r="M744" s="16">
        <f t="shared" si="55"/>
        <v>231.66650000000001</v>
      </c>
      <c r="N744" s="15">
        <v>0</v>
      </c>
      <c r="O744" s="16">
        <f t="shared" si="56"/>
        <v>61450</v>
      </c>
      <c r="P744" s="15" t="s">
        <v>18</v>
      </c>
      <c r="Q744" s="15">
        <v>0.06</v>
      </c>
      <c r="R744" s="16">
        <f t="shared" si="57"/>
        <v>3687</v>
      </c>
      <c r="S744" s="15">
        <v>0</v>
      </c>
      <c r="T744" s="15">
        <v>0</v>
      </c>
      <c r="U744" s="17">
        <f t="shared" si="58"/>
        <v>3687</v>
      </c>
      <c r="V744" s="12" t="s">
        <v>54</v>
      </c>
      <c r="W744" s="12">
        <v>90</v>
      </c>
    </row>
    <row r="745" spans="4:23" s="12" customFormat="1" ht="30.75" customHeight="1" thickTop="1" thickBot="1" x14ac:dyDescent="0.35">
      <c r="D745" s="10"/>
      <c r="G745" s="13">
        <f t="shared" si="59"/>
        <v>744</v>
      </c>
      <c r="H745" s="18">
        <v>45881</v>
      </c>
      <c r="I745" s="36" t="s">
        <v>20</v>
      </c>
      <c r="J745" s="15">
        <v>1560</v>
      </c>
      <c r="K745" s="15">
        <v>5</v>
      </c>
      <c r="L745" s="15">
        <v>1466.4</v>
      </c>
      <c r="M745" s="16">
        <f t="shared" si="55"/>
        <v>293.28000000000003</v>
      </c>
      <c r="N745" s="15">
        <v>0</v>
      </c>
      <c r="O745" s="16">
        <f t="shared" si="56"/>
        <v>1560</v>
      </c>
      <c r="P745" s="15" t="s">
        <v>18</v>
      </c>
      <c r="Q745" s="15">
        <v>0.06</v>
      </c>
      <c r="R745" s="16">
        <f t="shared" si="57"/>
        <v>93.6</v>
      </c>
      <c r="S745" s="15">
        <v>0</v>
      </c>
      <c r="T745" s="15">
        <v>0</v>
      </c>
      <c r="U745" s="17">
        <f t="shared" si="58"/>
        <v>93.6</v>
      </c>
      <c r="V745" s="12" t="s">
        <v>54</v>
      </c>
      <c r="W745" s="12">
        <v>90</v>
      </c>
    </row>
    <row r="746" spans="4:23" s="12" customFormat="1" ht="30.75" customHeight="1" thickTop="1" thickBot="1" x14ac:dyDescent="0.35">
      <c r="D746" s="10"/>
      <c r="G746" s="13">
        <f t="shared" si="59"/>
        <v>745</v>
      </c>
      <c r="H746" s="18">
        <v>45881</v>
      </c>
      <c r="I746" s="15" t="s">
        <v>21</v>
      </c>
      <c r="J746" s="15">
        <v>2472</v>
      </c>
      <c r="K746" s="15">
        <v>10</v>
      </c>
      <c r="L746" s="15">
        <v>2323.6799999999998</v>
      </c>
      <c r="M746" s="16">
        <f t="shared" si="55"/>
        <v>232.36799999999999</v>
      </c>
      <c r="N746" s="15">
        <v>0</v>
      </c>
      <c r="O746" s="16">
        <f t="shared" si="56"/>
        <v>2472</v>
      </c>
      <c r="P746" s="15" t="s">
        <v>18</v>
      </c>
      <c r="Q746" s="15">
        <v>0.06</v>
      </c>
      <c r="R746" s="16">
        <f t="shared" si="57"/>
        <v>148.32</v>
      </c>
      <c r="S746" s="15">
        <v>0</v>
      </c>
      <c r="T746" s="15">
        <v>0</v>
      </c>
      <c r="U746" s="17">
        <f t="shared" si="58"/>
        <v>148.32</v>
      </c>
      <c r="V746" s="12" t="s">
        <v>54</v>
      </c>
      <c r="W746" s="12">
        <v>90</v>
      </c>
    </row>
    <row r="747" spans="4:23" s="12" customFormat="1" ht="30.75" customHeight="1" thickTop="1" thickBot="1" x14ac:dyDescent="0.35">
      <c r="D747" s="10"/>
      <c r="G747" s="13">
        <f t="shared" si="59"/>
        <v>746</v>
      </c>
      <c r="H747" s="18">
        <v>45881</v>
      </c>
      <c r="I747" s="15" t="s">
        <v>22</v>
      </c>
      <c r="J747" s="15">
        <v>1346.25</v>
      </c>
      <c r="K747" s="15">
        <v>5</v>
      </c>
      <c r="L747" s="15">
        <v>1265.48</v>
      </c>
      <c r="M747" s="16">
        <f t="shared" si="55"/>
        <v>253.096</v>
      </c>
      <c r="N747" s="15">
        <v>0</v>
      </c>
      <c r="O747" s="16">
        <f t="shared" si="56"/>
        <v>1346.25</v>
      </c>
      <c r="P747" s="15" t="s">
        <v>18</v>
      </c>
      <c r="Q747" s="15">
        <v>0.06</v>
      </c>
      <c r="R747" s="16">
        <f t="shared" si="57"/>
        <v>80.774999999999991</v>
      </c>
      <c r="S747" s="15">
        <v>0</v>
      </c>
      <c r="T747" s="15">
        <v>0</v>
      </c>
      <c r="U747" s="17">
        <f t="shared" si="58"/>
        <v>80.774999999999991</v>
      </c>
      <c r="V747" s="12" t="s">
        <v>54</v>
      </c>
      <c r="W747" s="12">
        <v>90</v>
      </c>
    </row>
    <row r="748" spans="4:23" s="12" customFormat="1" ht="30.75" customHeight="1" thickTop="1" thickBot="1" x14ac:dyDescent="0.35">
      <c r="D748" s="10"/>
      <c r="G748" s="13">
        <f t="shared" si="59"/>
        <v>747</v>
      </c>
      <c r="H748" s="18">
        <v>45881</v>
      </c>
      <c r="I748" s="15" t="s">
        <v>23</v>
      </c>
      <c r="J748" s="15">
        <v>24000</v>
      </c>
      <c r="K748" s="15">
        <v>125</v>
      </c>
      <c r="L748" s="15">
        <v>22560</v>
      </c>
      <c r="M748" s="16">
        <f t="shared" si="55"/>
        <v>180.48</v>
      </c>
      <c r="N748" s="15">
        <v>0</v>
      </c>
      <c r="O748" s="16">
        <f t="shared" si="56"/>
        <v>24000</v>
      </c>
      <c r="P748" s="15" t="s">
        <v>18</v>
      </c>
      <c r="Q748" s="15">
        <v>0.06</v>
      </c>
      <c r="R748" s="16">
        <f t="shared" si="57"/>
        <v>1440</v>
      </c>
      <c r="S748" s="15">
        <v>0</v>
      </c>
      <c r="T748" s="15">
        <v>0</v>
      </c>
      <c r="U748" s="17">
        <f t="shared" si="58"/>
        <v>1440</v>
      </c>
      <c r="V748" s="12" t="s">
        <v>54</v>
      </c>
      <c r="W748" s="12">
        <v>90</v>
      </c>
    </row>
    <row r="749" spans="4:23" s="12" customFormat="1" ht="30.75" customHeight="1" thickTop="1" thickBot="1" x14ac:dyDescent="0.35">
      <c r="D749" s="10"/>
      <c r="G749" s="13">
        <f t="shared" si="59"/>
        <v>748</v>
      </c>
      <c r="H749" s="18">
        <v>45881</v>
      </c>
      <c r="I749" s="15" t="s">
        <v>31</v>
      </c>
      <c r="J749" s="15">
        <v>6336</v>
      </c>
      <c r="K749" s="15">
        <v>33</v>
      </c>
      <c r="L749" s="15">
        <v>5955.84</v>
      </c>
      <c r="M749" s="16">
        <f t="shared" si="55"/>
        <v>180.48000000000002</v>
      </c>
      <c r="N749" s="15">
        <v>0</v>
      </c>
      <c r="O749" s="16">
        <f t="shared" si="56"/>
        <v>6336</v>
      </c>
      <c r="P749" s="15" t="s">
        <v>18</v>
      </c>
      <c r="Q749" s="15">
        <v>0.06</v>
      </c>
      <c r="R749" s="16">
        <f t="shared" si="57"/>
        <v>380.15999999999997</v>
      </c>
      <c r="S749" s="15">
        <v>0</v>
      </c>
      <c r="T749" s="15">
        <v>0</v>
      </c>
      <c r="U749" s="17">
        <f t="shared" si="58"/>
        <v>380.15999999999997</v>
      </c>
      <c r="V749" s="12" t="s">
        <v>54</v>
      </c>
      <c r="W749" s="12">
        <v>90</v>
      </c>
    </row>
    <row r="750" spans="4:23" s="12" customFormat="1" ht="30.75" customHeight="1" thickTop="1" thickBot="1" x14ac:dyDescent="0.35">
      <c r="D750" s="10"/>
      <c r="G750" s="13">
        <f t="shared" si="59"/>
        <v>749</v>
      </c>
      <c r="H750" s="18">
        <v>45885</v>
      </c>
      <c r="I750" s="15" t="s">
        <v>25</v>
      </c>
      <c r="J750" s="15">
        <v>48484.04</v>
      </c>
      <c r="K750" s="15">
        <v>202</v>
      </c>
      <c r="L750" s="15">
        <v>38413.9</v>
      </c>
      <c r="M750" s="16">
        <f t="shared" si="55"/>
        <v>190.16782178217824</v>
      </c>
      <c r="N750" s="15">
        <v>0</v>
      </c>
      <c r="O750" s="16">
        <f t="shared" si="56"/>
        <v>48484.04</v>
      </c>
      <c r="P750" s="15" t="s">
        <v>26</v>
      </c>
      <c r="Q750" s="15">
        <v>0.02</v>
      </c>
      <c r="R750" s="16">
        <f t="shared" si="57"/>
        <v>969.68080000000009</v>
      </c>
      <c r="S750" s="15">
        <v>0</v>
      </c>
      <c r="T750" s="15">
        <v>0</v>
      </c>
      <c r="U750" s="17">
        <f t="shared" si="58"/>
        <v>969.68080000000009</v>
      </c>
      <c r="V750" s="12" t="s">
        <v>54</v>
      </c>
      <c r="W750" s="12">
        <v>91</v>
      </c>
    </row>
    <row r="751" spans="4:23" s="12" customFormat="1" ht="30.75" customHeight="1" thickTop="1" thickBot="1" x14ac:dyDescent="0.35">
      <c r="D751" s="10"/>
      <c r="G751" s="13">
        <f t="shared" si="59"/>
        <v>750</v>
      </c>
      <c r="H751" s="18">
        <v>45885</v>
      </c>
      <c r="I751" s="15" t="s">
        <v>41</v>
      </c>
      <c r="J751" s="15">
        <v>13450.8</v>
      </c>
      <c r="K751" s="15">
        <v>100</v>
      </c>
      <c r="L751" s="15">
        <v>11036.38</v>
      </c>
      <c r="M751" s="16">
        <f t="shared" si="55"/>
        <v>110.3638</v>
      </c>
      <c r="N751" s="15">
        <v>0</v>
      </c>
      <c r="O751" s="16">
        <f t="shared" si="56"/>
        <v>13450.8</v>
      </c>
      <c r="P751" s="15" t="s">
        <v>26</v>
      </c>
      <c r="Q751" s="15">
        <v>0.02</v>
      </c>
      <c r="R751" s="16">
        <f t="shared" si="57"/>
        <v>269.01599999999996</v>
      </c>
      <c r="S751" s="15">
        <v>0</v>
      </c>
      <c r="T751" s="15">
        <v>0</v>
      </c>
      <c r="U751" s="17">
        <f t="shared" si="58"/>
        <v>269.01599999999996</v>
      </c>
      <c r="V751" s="12" t="s">
        <v>54</v>
      </c>
      <c r="W751" s="12">
        <v>91</v>
      </c>
    </row>
    <row r="752" spans="4:23" s="12" customFormat="1" ht="30.75" customHeight="1" thickTop="1" thickBot="1" x14ac:dyDescent="0.35">
      <c r="D752" s="10"/>
      <c r="G752" s="13">
        <f t="shared" si="59"/>
        <v>751</v>
      </c>
      <c r="H752" s="18">
        <v>45885</v>
      </c>
      <c r="I752" s="15" t="s">
        <v>30</v>
      </c>
      <c r="J752" s="15">
        <v>46087.5</v>
      </c>
      <c r="K752" s="15">
        <v>150</v>
      </c>
      <c r="L752" s="15">
        <v>34749.980000000003</v>
      </c>
      <c r="M752" s="16">
        <f t="shared" si="55"/>
        <v>231.66653333333335</v>
      </c>
      <c r="N752" s="15">
        <v>0</v>
      </c>
      <c r="O752" s="16">
        <f t="shared" si="56"/>
        <v>46087.5</v>
      </c>
      <c r="P752" s="15" t="s">
        <v>18</v>
      </c>
      <c r="Q752" s="15">
        <v>0.06</v>
      </c>
      <c r="R752" s="16">
        <f t="shared" si="57"/>
        <v>2765.25</v>
      </c>
      <c r="S752" s="15">
        <v>0</v>
      </c>
      <c r="T752" s="15">
        <v>0</v>
      </c>
      <c r="U752" s="17">
        <f t="shared" si="58"/>
        <v>2765.25</v>
      </c>
      <c r="V752" s="12" t="s">
        <v>54</v>
      </c>
      <c r="W752" s="12">
        <v>91</v>
      </c>
    </row>
    <row r="753" spans="4:23" s="12" customFormat="1" ht="30.75" customHeight="1" thickTop="1" thickBot="1" x14ac:dyDescent="0.35">
      <c r="D753" s="10"/>
      <c r="G753" s="13">
        <f t="shared" si="59"/>
        <v>752</v>
      </c>
      <c r="H753" s="18">
        <v>45885</v>
      </c>
      <c r="I753" s="15" t="s">
        <v>17</v>
      </c>
      <c r="J753" s="15">
        <v>92175</v>
      </c>
      <c r="K753" s="15">
        <v>300</v>
      </c>
      <c r="L753" s="15">
        <v>69499.95</v>
      </c>
      <c r="M753" s="16">
        <f t="shared" si="55"/>
        <v>231.66649999999998</v>
      </c>
      <c r="N753" s="15">
        <v>0</v>
      </c>
      <c r="O753" s="16">
        <f t="shared" si="56"/>
        <v>92175</v>
      </c>
      <c r="P753" s="15" t="s">
        <v>18</v>
      </c>
      <c r="Q753" s="15">
        <v>0.06</v>
      </c>
      <c r="R753" s="16">
        <f t="shared" si="57"/>
        <v>5530.5</v>
      </c>
      <c r="S753" s="15">
        <v>0</v>
      </c>
      <c r="T753" s="15">
        <v>0</v>
      </c>
      <c r="U753" s="17">
        <f t="shared" si="58"/>
        <v>5530.5</v>
      </c>
      <c r="V753" s="12" t="s">
        <v>54</v>
      </c>
      <c r="W753" s="12">
        <v>91</v>
      </c>
    </row>
    <row r="754" spans="4:23" s="12" customFormat="1" ht="30.75" customHeight="1" thickTop="1" thickBot="1" x14ac:dyDescent="0.35">
      <c r="D754" s="10"/>
      <c r="G754" s="13">
        <f t="shared" si="59"/>
        <v>753</v>
      </c>
      <c r="H754" s="18">
        <v>45885</v>
      </c>
      <c r="I754" s="15" t="s">
        <v>35</v>
      </c>
      <c r="J754" s="15">
        <v>6132</v>
      </c>
      <c r="K754" s="15">
        <v>35</v>
      </c>
      <c r="L754" s="15">
        <v>5334.84</v>
      </c>
      <c r="M754" s="16">
        <f t="shared" si="55"/>
        <v>152.42400000000001</v>
      </c>
      <c r="N754" s="15">
        <v>0</v>
      </c>
      <c r="O754" s="16">
        <f t="shared" si="56"/>
        <v>6132</v>
      </c>
      <c r="P754" s="15" t="s">
        <v>18</v>
      </c>
      <c r="Q754" s="15">
        <v>0.06</v>
      </c>
      <c r="R754" s="16">
        <f t="shared" si="57"/>
        <v>367.91999999999996</v>
      </c>
      <c r="S754" s="15">
        <v>0</v>
      </c>
      <c r="T754" s="15">
        <v>0</v>
      </c>
      <c r="U754" s="17">
        <f t="shared" si="58"/>
        <v>367.91999999999996</v>
      </c>
      <c r="V754" s="12" t="s">
        <v>54</v>
      </c>
      <c r="W754" s="12">
        <v>91</v>
      </c>
    </row>
    <row r="755" spans="4:23" s="12" customFormat="1" ht="30.75" customHeight="1" thickTop="1" thickBot="1" x14ac:dyDescent="0.35">
      <c r="D755" s="10"/>
      <c r="G755" s="13">
        <f t="shared" si="59"/>
        <v>754</v>
      </c>
      <c r="H755" s="18">
        <v>45885</v>
      </c>
      <c r="I755" s="36" t="s">
        <v>20</v>
      </c>
      <c r="J755" s="15">
        <v>1560</v>
      </c>
      <c r="K755" s="15">
        <v>5</v>
      </c>
      <c r="L755" s="15">
        <v>1466.4</v>
      </c>
      <c r="M755" s="16">
        <f t="shared" si="55"/>
        <v>293.28000000000003</v>
      </c>
      <c r="N755" s="15">
        <v>0</v>
      </c>
      <c r="O755" s="16">
        <f t="shared" si="56"/>
        <v>1560</v>
      </c>
      <c r="P755" s="15" t="s">
        <v>18</v>
      </c>
      <c r="Q755" s="15">
        <v>0.06</v>
      </c>
      <c r="R755" s="16">
        <f t="shared" si="57"/>
        <v>93.6</v>
      </c>
      <c r="S755" s="15">
        <v>0</v>
      </c>
      <c r="T755" s="15">
        <v>0</v>
      </c>
      <c r="U755" s="17">
        <f t="shared" si="58"/>
        <v>93.6</v>
      </c>
      <c r="V755" s="12" t="s">
        <v>54</v>
      </c>
      <c r="W755" s="12">
        <v>91</v>
      </c>
    </row>
    <row r="756" spans="4:23" s="12" customFormat="1" ht="30.75" customHeight="1" thickTop="1" thickBot="1" x14ac:dyDescent="0.35">
      <c r="D756" s="10"/>
      <c r="G756" s="13">
        <f t="shared" si="59"/>
        <v>755</v>
      </c>
      <c r="H756" s="18">
        <v>45885</v>
      </c>
      <c r="I756" s="15" t="s">
        <v>21</v>
      </c>
      <c r="J756" s="15">
        <v>3708</v>
      </c>
      <c r="K756" s="15">
        <v>15</v>
      </c>
      <c r="L756" s="15">
        <v>3485.52</v>
      </c>
      <c r="M756" s="16">
        <f t="shared" si="55"/>
        <v>232.36799999999999</v>
      </c>
      <c r="N756" s="15">
        <v>0</v>
      </c>
      <c r="O756" s="16">
        <f t="shared" si="56"/>
        <v>3708</v>
      </c>
      <c r="P756" s="15" t="s">
        <v>18</v>
      </c>
      <c r="Q756" s="15">
        <v>0.06</v>
      </c>
      <c r="R756" s="16">
        <f t="shared" si="57"/>
        <v>222.48</v>
      </c>
      <c r="S756" s="15">
        <v>0</v>
      </c>
      <c r="T756" s="15">
        <v>0</v>
      </c>
      <c r="U756" s="17">
        <f t="shared" si="58"/>
        <v>222.48</v>
      </c>
      <c r="V756" s="12" t="s">
        <v>54</v>
      </c>
      <c r="W756" s="12">
        <v>91</v>
      </c>
    </row>
    <row r="757" spans="4:23" s="12" customFormat="1" ht="30.75" customHeight="1" thickTop="1" thickBot="1" x14ac:dyDescent="0.35">
      <c r="D757" s="10"/>
      <c r="G757" s="13">
        <f t="shared" si="59"/>
        <v>756</v>
      </c>
      <c r="H757" s="18">
        <v>45885</v>
      </c>
      <c r="I757" s="15" t="s">
        <v>22</v>
      </c>
      <c r="J757" s="15">
        <v>2692.5</v>
      </c>
      <c r="K757" s="15">
        <v>10</v>
      </c>
      <c r="L757" s="15">
        <v>2530.9499999999998</v>
      </c>
      <c r="M757" s="16">
        <f t="shared" si="55"/>
        <v>253.09499999999997</v>
      </c>
      <c r="N757" s="15">
        <v>0</v>
      </c>
      <c r="O757" s="16">
        <f t="shared" si="56"/>
        <v>2692.5</v>
      </c>
      <c r="P757" s="15" t="s">
        <v>18</v>
      </c>
      <c r="Q757" s="15">
        <v>0.06</v>
      </c>
      <c r="R757" s="16">
        <f t="shared" si="57"/>
        <v>161.54999999999998</v>
      </c>
      <c r="S757" s="15">
        <v>0</v>
      </c>
      <c r="T757" s="15">
        <v>0</v>
      </c>
      <c r="U757" s="17">
        <f t="shared" si="58"/>
        <v>161.54999999999998</v>
      </c>
      <c r="V757" s="12" t="s">
        <v>54</v>
      </c>
      <c r="W757" s="12">
        <v>91</v>
      </c>
    </row>
    <row r="758" spans="4:23" s="12" customFormat="1" ht="30.75" customHeight="1" thickTop="1" thickBot="1" x14ac:dyDescent="0.35">
      <c r="D758" s="10"/>
      <c r="G758" s="13">
        <f t="shared" si="59"/>
        <v>757</v>
      </c>
      <c r="H758" s="18">
        <v>45885</v>
      </c>
      <c r="I758" s="15" t="s">
        <v>23</v>
      </c>
      <c r="J758" s="15">
        <v>24000</v>
      </c>
      <c r="K758" s="15">
        <v>125</v>
      </c>
      <c r="L758" s="15">
        <v>22560</v>
      </c>
      <c r="M758" s="16">
        <f t="shared" si="55"/>
        <v>180.48</v>
      </c>
      <c r="N758" s="15">
        <v>0</v>
      </c>
      <c r="O758" s="16">
        <f t="shared" si="56"/>
        <v>24000</v>
      </c>
      <c r="P758" s="15" t="s">
        <v>18</v>
      </c>
      <c r="Q758" s="15">
        <v>0.06</v>
      </c>
      <c r="R758" s="16">
        <f t="shared" si="57"/>
        <v>1440</v>
      </c>
      <c r="S758" s="15">
        <v>0</v>
      </c>
      <c r="T758" s="15">
        <v>0</v>
      </c>
      <c r="U758" s="17">
        <f t="shared" si="58"/>
        <v>1440</v>
      </c>
      <c r="V758" s="12" t="s">
        <v>54</v>
      </c>
      <c r="W758" s="12">
        <v>91</v>
      </c>
    </row>
    <row r="759" spans="4:23" s="12" customFormat="1" ht="30.75" customHeight="1" thickTop="1" thickBot="1" x14ac:dyDescent="0.35">
      <c r="D759" s="10"/>
      <c r="G759" s="13">
        <f t="shared" si="59"/>
        <v>758</v>
      </c>
      <c r="H759" s="18">
        <v>45885</v>
      </c>
      <c r="I759" s="15" t="s">
        <v>24</v>
      </c>
      <c r="J759" s="15">
        <v>6500.8</v>
      </c>
      <c r="K759" s="15">
        <v>20</v>
      </c>
      <c r="L759" s="15">
        <v>6110.75</v>
      </c>
      <c r="M759" s="16">
        <f t="shared" si="55"/>
        <v>305.53750000000002</v>
      </c>
      <c r="N759" s="15">
        <v>0</v>
      </c>
      <c r="O759" s="16">
        <f t="shared" si="56"/>
        <v>6500.8</v>
      </c>
      <c r="P759" s="15" t="s">
        <v>18</v>
      </c>
      <c r="Q759" s="15">
        <v>0.06</v>
      </c>
      <c r="R759" s="16">
        <f t="shared" si="57"/>
        <v>390.048</v>
      </c>
      <c r="S759" s="15">
        <v>0</v>
      </c>
      <c r="T759" s="15">
        <v>0</v>
      </c>
      <c r="U759" s="17">
        <f t="shared" si="58"/>
        <v>390.048</v>
      </c>
      <c r="V759" s="12" t="s">
        <v>54</v>
      </c>
      <c r="W759" s="12">
        <v>91</v>
      </c>
    </row>
    <row r="760" spans="4:23" s="12" customFormat="1" ht="30.75" customHeight="1" thickTop="1" thickBot="1" x14ac:dyDescent="0.35">
      <c r="D760" s="10"/>
      <c r="G760" s="13">
        <f t="shared" si="59"/>
        <v>759</v>
      </c>
      <c r="H760" s="18">
        <v>45885</v>
      </c>
      <c r="I760" s="15" t="s">
        <v>31</v>
      </c>
      <c r="J760" s="15">
        <v>9984</v>
      </c>
      <c r="K760" s="15">
        <v>52</v>
      </c>
      <c r="L760" s="15">
        <v>9384.9599999999991</v>
      </c>
      <c r="M760" s="16">
        <f t="shared" si="55"/>
        <v>180.48</v>
      </c>
      <c r="N760" s="15">
        <v>0</v>
      </c>
      <c r="O760" s="16">
        <f t="shared" si="56"/>
        <v>9984</v>
      </c>
      <c r="P760" s="15" t="s">
        <v>18</v>
      </c>
      <c r="Q760" s="15">
        <v>0.06</v>
      </c>
      <c r="R760" s="16">
        <f t="shared" si="57"/>
        <v>599.04</v>
      </c>
      <c r="S760" s="15">
        <v>0</v>
      </c>
      <c r="T760" s="15">
        <v>0</v>
      </c>
      <c r="U760" s="17">
        <f t="shared" si="58"/>
        <v>599.04</v>
      </c>
      <c r="V760" s="12" t="s">
        <v>54</v>
      </c>
      <c r="W760" s="12">
        <v>91</v>
      </c>
    </row>
    <row r="761" spans="4:23" s="12" customFormat="1" ht="30.75" customHeight="1" thickTop="1" thickBot="1" x14ac:dyDescent="0.35">
      <c r="D761" s="10"/>
      <c r="G761" s="13">
        <f t="shared" si="59"/>
        <v>760</v>
      </c>
      <c r="H761" s="18">
        <v>45885</v>
      </c>
      <c r="I761" s="15" t="s">
        <v>36</v>
      </c>
      <c r="J761" s="15">
        <v>975.12</v>
      </c>
      <c r="K761" s="15">
        <v>3</v>
      </c>
      <c r="L761" s="15">
        <v>916.61</v>
      </c>
      <c r="M761" s="16">
        <f t="shared" si="55"/>
        <v>305.53666666666669</v>
      </c>
      <c r="N761" s="15">
        <v>0</v>
      </c>
      <c r="O761" s="16">
        <f t="shared" si="56"/>
        <v>975.12</v>
      </c>
      <c r="P761" s="15" t="s">
        <v>18</v>
      </c>
      <c r="Q761" s="15">
        <v>0.06</v>
      </c>
      <c r="R761" s="16">
        <f t="shared" si="57"/>
        <v>58.507199999999997</v>
      </c>
      <c r="S761" s="15">
        <v>0</v>
      </c>
      <c r="T761" s="15">
        <v>0</v>
      </c>
      <c r="U761" s="17">
        <f t="shared" si="58"/>
        <v>58.507199999999997</v>
      </c>
      <c r="V761" s="12" t="s">
        <v>54</v>
      </c>
      <c r="W761" s="12">
        <v>91</v>
      </c>
    </row>
    <row r="762" spans="4:23" s="12" customFormat="1" ht="30.75" customHeight="1" thickTop="1" thickBot="1" x14ac:dyDescent="0.35">
      <c r="D762" s="10"/>
      <c r="G762" s="13">
        <f t="shared" si="59"/>
        <v>761</v>
      </c>
      <c r="H762" s="18">
        <v>45886</v>
      </c>
      <c r="I762" s="15" t="s">
        <v>30</v>
      </c>
      <c r="J762" s="15">
        <v>69131.25</v>
      </c>
      <c r="K762" s="15">
        <v>225</v>
      </c>
      <c r="L762" s="15">
        <v>47700.56</v>
      </c>
      <c r="M762" s="16">
        <f t="shared" si="55"/>
        <v>212.00248888888888</v>
      </c>
      <c r="N762" s="15">
        <v>0</v>
      </c>
      <c r="O762" s="16">
        <f t="shared" si="56"/>
        <v>69131.25</v>
      </c>
      <c r="P762" s="15" t="s">
        <v>18</v>
      </c>
      <c r="Q762" s="15">
        <v>0.06</v>
      </c>
      <c r="R762" s="16">
        <f t="shared" si="57"/>
        <v>4147.875</v>
      </c>
      <c r="S762" s="15">
        <v>0</v>
      </c>
      <c r="T762" s="15">
        <v>0</v>
      </c>
      <c r="U762" s="17">
        <f t="shared" si="58"/>
        <v>4147.875</v>
      </c>
      <c r="V762" s="12" t="s">
        <v>54</v>
      </c>
      <c r="W762" s="12">
        <v>92</v>
      </c>
    </row>
    <row r="763" spans="4:23" s="12" customFormat="1" ht="30.75" customHeight="1" thickTop="1" thickBot="1" x14ac:dyDescent="0.35">
      <c r="D763" s="10"/>
      <c r="G763" s="13">
        <f t="shared" si="59"/>
        <v>762</v>
      </c>
      <c r="H763" s="18">
        <v>45886</v>
      </c>
      <c r="I763" s="15" t="s">
        <v>17</v>
      </c>
      <c r="J763" s="15">
        <v>53768.75</v>
      </c>
      <c r="K763" s="15">
        <v>175</v>
      </c>
      <c r="L763" s="15">
        <v>37100.44</v>
      </c>
      <c r="M763" s="16">
        <f t="shared" si="55"/>
        <v>212.00251428571431</v>
      </c>
      <c r="N763" s="15">
        <v>0</v>
      </c>
      <c r="O763" s="16">
        <f t="shared" si="56"/>
        <v>53768.75</v>
      </c>
      <c r="P763" s="15" t="s">
        <v>18</v>
      </c>
      <c r="Q763" s="15">
        <v>0.06</v>
      </c>
      <c r="R763" s="16">
        <f t="shared" si="57"/>
        <v>3226.125</v>
      </c>
      <c r="S763" s="15">
        <v>0</v>
      </c>
      <c r="T763" s="15">
        <v>0</v>
      </c>
      <c r="U763" s="17">
        <f t="shared" si="58"/>
        <v>3226.125</v>
      </c>
      <c r="V763" s="12" t="s">
        <v>54</v>
      </c>
      <c r="W763" s="12">
        <v>92</v>
      </c>
    </row>
    <row r="764" spans="4:23" s="12" customFormat="1" ht="30.75" customHeight="1" thickTop="1" thickBot="1" x14ac:dyDescent="0.35">
      <c r="D764" s="10"/>
      <c r="G764" s="13">
        <f t="shared" si="59"/>
        <v>763</v>
      </c>
      <c r="H764" s="18">
        <v>45886</v>
      </c>
      <c r="I764" s="15" t="s">
        <v>23</v>
      </c>
      <c r="J764" s="15">
        <v>26880</v>
      </c>
      <c r="K764" s="15">
        <v>140</v>
      </c>
      <c r="L764" s="15">
        <v>25267.200000000001</v>
      </c>
      <c r="M764" s="16">
        <f t="shared" si="55"/>
        <v>180.48000000000002</v>
      </c>
      <c r="N764" s="15">
        <v>0</v>
      </c>
      <c r="O764" s="16">
        <f t="shared" si="56"/>
        <v>26880</v>
      </c>
      <c r="P764" s="15" t="s">
        <v>18</v>
      </c>
      <c r="Q764" s="15">
        <v>0.06</v>
      </c>
      <c r="R764" s="16">
        <f t="shared" si="57"/>
        <v>1612.8</v>
      </c>
      <c r="S764" s="15">
        <v>0</v>
      </c>
      <c r="T764" s="15">
        <v>0</v>
      </c>
      <c r="U764" s="17">
        <f t="shared" si="58"/>
        <v>1612.8</v>
      </c>
      <c r="V764" s="12" t="s">
        <v>54</v>
      </c>
      <c r="W764" s="12">
        <v>92</v>
      </c>
    </row>
    <row r="765" spans="4:23" s="12" customFormat="1" ht="30.75" customHeight="1" thickTop="1" thickBot="1" x14ac:dyDescent="0.35">
      <c r="D765" s="10"/>
      <c r="G765" s="13">
        <f t="shared" si="59"/>
        <v>764</v>
      </c>
      <c r="H765" s="18">
        <v>45886</v>
      </c>
      <c r="I765" s="15" t="s">
        <v>24</v>
      </c>
      <c r="J765" s="15">
        <v>3250.4</v>
      </c>
      <c r="K765" s="15">
        <v>10</v>
      </c>
      <c r="L765" s="15">
        <v>3055.38</v>
      </c>
      <c r="M765" s="16">
        <f t="shared" si="55"/>
        <v>305.53800000000001</v>
      </c>
      <c r="N765" s="15">
        <v>0</v>
      </c>
      <c r="O765" s="16">
        <f t="shared" si="56"/>
        <v>3250.4</v>
      </c>
      <c r="P765" s="15" t="s">
        <v>18</v>
      </c>
      <c r="Q765" s="15">
        <v>0.06</v>
      </c>
      <c r="R765" s="16">
        <f t="shared" si="57"/>
        <v>195.024</v>
      </c>
      <c r="S765" s="15">
        <v>0</v>
      </c>
      <c r="T765" s="15">
        <v>0</v>
      </c>
      <c r="U765" s="17">
        <f t="shared" si="58"/>
        <v>195.024</v>
      </c>
      <c r="V765" s="12" t="s">
        <v>54</v>
      </c>
      <c r="W765" s="12">
        <v>92</v>
      </c>
    </row>
    <row r="766" spans="4:23" s="12" customFormat="1" ht="30.75" customHeight="1" thickTop="1" thickBot="1" x14ac:dyDescent="0.35">
      <c r="D766" s="10"/>
      <c r="G766" s="13">
        <f t="shared" si="59"/>
        <v>765</v>
      </c>
      <c r="H766" s="18">
        <v>45886</v>
      </c>
      <c r="I766" s="15" t="s">
        <v>31</v>
      </c>
      <c r="J766" s="15">
        <v>5952</v>
      </c>
      <c r="K766" s="15">
        <v>31</v>
      </c>
      <c r="L766" s="15">
        <v>5594.88</v>
      </c>
      <c r="M766" s="16">
        <f t="shared" si="55"/>
        <v>180.48</v>
      </c>
      <c r="N766" s="15">
        <v>0</v>
      </c>
      <c r="O766" s="16">
        <f t="shared" si="56"/>
        <v>5952</v>
      </c>
      <c r="P766" s="15" t="s">
        <v>18</v>
      </c>
      <c r="Q766" s="15">
        <v>0.06</v>
      </c>
      <c r="R766" s="16">
        <f t="shared" si="57"/>
        <v>357.12</v>
      </c>
      <c r="S766" s="15">
        <v>0</v>
      </c>
      <c r="T766" s="15">
        <v>0</v>
      </c>
      <c r="U766" s="17">
        <f t="shared" si="58"/>
        <v>357.12</v>
      </c>
      <c r="V766" s="12" t="s">
        <v>54</v>
      </c>
      <c r="W766" s="12">
        <v>92</v>
      </c>
    </row>
    <row r="767" spans="4:23" s="12" customFormat="1" ht="30.75" customHeight="1" thickTop="1" thickBot="1" x14ac:dyDescent="0.35">
      <c r="D767" s="10"/>
      <c r="G767" s="13">
        <f t="shared" si="59"/>
        <v>766</v>
      </c>
      <c r="H767" s="18">
        <v>45888</v>
      </c>
      <c r="I767" s="15" t="s">
        <v>30</v>
      </c>
      <c r="J767" s="15">
        <v>30725</v>
      </c>
      <c r="K767" s="15">
        <v>100</v>
      </c>
      <c r="L767" s="15">
        <v>23166.65</v>
      </c>
      <c r="M767" s="16">
        <f t="shared" si="55"/>
        <v>231.66650000000001</v>
      </c>
      <c r="N767" s="15">
        <v>0</v>
      </c>
      <c r="O767" s="16">
        <f t="shared" si="56"/>
        <v>30725</v>
      </c>
      <c r="P767" s="15" t="s">
        <v>18</v>
      </c>
      <c r="Q767" s="15">
        <v>0.06</v>
      </c>
      <c r="R767" s="16">
        <f t="shared" si="57"/>
        <v>1843.5</v>
      </c>
      <c r="S767" s="15">
        <v>0</v>
      </c>
      <c r="T767" s="15">
        <v>0</v>
      </c>
      <c r="U767" s="17">
        <f t="shared" si="58"/>
        <v>1843.5</v>
      </c>
      <c r="V767" s="12" t="s">
        <v>54</v>
      </c>
      <c r="W767" s="12">
        <v>93</v>
      </c>
    </row>
    <row r="768" spans="4:23" s="12" customFormat="1" ht="30.75" customHeight="1" thickTop="1" thickBot="1" x14ac:dyDescent="0.35">
      <c r="D768" s="10"/>
      <c r="G768" s="13">
        <f t="shared" si="59"/>
        <v>767</v>
      </c>
      <c r="H768" s="18">
        <v>45888</v>
      </c>
      <c r="I768" s="15" t="s">
        <v>17</v>
      </c>
      <c r="J768" s="15">
        <v>46087</v>
      </c>
      <c r="K768" s="15">
        <v>150</v>
      </c>
      <c r="L768" s="15">
        <v>34749.980000000003</v>
      </c>
      <c r="M768" s="16">
        <f t="shared" si="55"/>
        <v>231.66653333333335</v>
      </c>
      <c r="N768" s="15">
        <v>0</v>
      </c>
      <c r="O768" s="16">
        <f t="shared" si="56"/>
        <v>46087</v>
      </c>
      <c r="P768" s="15" t="s">
        <v>18</v>
      </c>
      <c r="Q768" s="15">
        <v>0.06</v>
      </c>
      <c r="R768" s="16">
        <f t="shared" si="57"/>
        <v>2765.22</v>
      </c>
      <c r="S768" s="15">
        <v>0</v>
      </c>
      <c r="T768" s="15">
        <v>0</v>
      </c>
      <c r="U768" s="17">
        <f t="shared" si="58"/>
        <v>2765.22</v>
      </c>
      <c r="V768" s="12" t="s">
        <v>54</v>
      </c>
      <c r="W768" s="12">
        <v>93</v>
      </c>
    </row>
    <row r="769" spans="4:23" s="12" customFormat="1" ht="30.75" customHeight="1" thickTop="1" thickBot="1" x14ac:dyDescent="0.35">
      <c r="D769" s="10"/>
      <c r="G769" s="13">
        <f t="shared" si="59"/>
        <v>768</v>
      </c>
      <c r="H769" s="18">
        <v>45888</v>
      </c>
      <c r="I769" s="36" t="s">
        <v>20</v>
      </c>
      <c r="J769" s="15">
        <v>935</v>
      </c>
      <c r="K769" s="15">
        <v>3</v>
      </c>
      <c r="L769" s="15">
        <v>879.84</v>
      </c>
      <c r="M769" s="16">
        <f t="shared" si="55"/>
        <v>293.28000000000003</v>
      </c>
      <c r="N769" s="15">
        <v>0</v>
      </c>
      <c r="O769" s="16">
        <f t="shared" si="56"/>
        <v>935</v>
      </c>
      <c r="P769" s="15" t="s">
        <v>18</v>
      </c>
      <c r="Q769" s="15">
        <v>0.06</v>
      </c>
      <c r="R769" s="16">
        <f t="shared" si="57"/>
        <v>56.1</v>
      </c>
      <c r="S769" s="15">
        <v>0</v>
      </c>
      <c r="T769" s="15">
        <v>0</v>
      </c>
      <c r="U769" s="17">
        <f t="shared" si="58"/>
        <v>56.1</v>
      </c>
      <c r="V769" s="12" t="s">
        <v>54</v>
      </c>
      <c r="W769" s="12">
        <v>93</v>
      </c>
    </row>
    <row r="770" spans="4:23" s="12" customFormat="1" ht="30.75" customHeight="1" thickTop="1" thickBot="1" x14ac:dyDescent="0.35">
      <c r="D770" s="10"/>
      <c r="G770" s="13">
        <f t="shared" si="59"/>
        <v>769</v>
      </c>
      <c r="H770" s="18">
        <v>45888</v>
      </c>
      <c r="I770" s="15" t="s">
        <v>23</v>
      </c>
      <c r="J770" s="15">
        <v>23040</v>
      </c>
      <c r="K770" s="15">
        <v>120</v>
      </c>
      <c r="L770" s="15">
        <v>21657.599999999999</v>
      </c>
      <c r="M770" s="16">
        <f t="shared" ref="M770:M833" si="60">IFERROR(L770/K770,"")</f>
        <v>180.48</v>
      </c>
      <c r="N770" s="15">
        <v>0</v>
      </c>
      <c r="O770" s="16">
        <f t="shared" ref="O770:O833" si="61">J770-N770</f>
        <v>23040</v>
      </c>
      <c r="P770" s="15" t="s">
        <v>18</v>
      </c>
      <c r="Q770" s="15">
        <v>0.06</v>
      </c>
      <c r="R770" s="16">
        <f t="shared" ref="R770:R833" si="62">J770*Q770</f>
        <v>1382.3999999999999</v>
      </c>
      <c r="S770" s="15">
        <v>-3083</v>
      </c>
      <c r="T770" s="15">
        <v>0</v>
      </c>
      <c r="U770" s="17">
        <f t="shared" ref="U770:U833" si="63">T770+S770+R770</f>
        <v>-1700.6000000000001</v>
      </c>
      <c r="V770" s="12" t="s">
        <v>54</v>
      </c>
      <c r="W770" s="12">
        <v>93</v>
      </c>
    </row>
    <row r="771" spans="4:23" s="12" customFormat="1" ht="30.75" customHeight="1" thickTop="1" thickBot="1" x14ac:dyDescent="0.35">
      <c r="D771" s="10"/>
      <c r="G771" s="13">
        <f t="shared" si="59"/>
        <v>770</v>
      </c>
      <c r="H771" s="18">
        <v>45888</v>
      </c>
      <c r="I771" s="15" t="s">
        <v>24</v>
      </c>
      <c r="J771" s="15">
        <v>3250.4</v>
      </c>
      <c r="K771" s="15">
        <v>10</v>
      </c>
      <c r="L771" s="15">
        <v>3055.38</v>
      </c>
      <c r="M771" s="16">
        <f t="shared" si="60"/>
        <v>305.53800000000001</v>
      </c>
      <c r="N771" s="15">
        <v>0</v>
      </c>
      <c r="O771" s="16">
        <f t="shared" si="61"/>
        <v>3250.4</v>
      </c>
      <c r="P771" s="15" t="s">
        <v>18</v>
      </c>
      <c r="Q771" s="15">
        <v>0.06</v>
      </c>
      <c r="R771" s="16">
        <f t="shared" si="62"/>
        <v>195.024</v>
      </c>
      <c r="S771" s="15">
        <v>13200</v>
      </c>
      <c r="T771" s="15">
        <v>0</v>
      </c>
      <c r="U771" s="17">
        <f t="shared" si="63"/>
        <v>13395.023999999999</v>
      </c>
      <c r="V771" s="12" t="s">
        <v>54</v>
      </c>
      <c r="W771" s="12">
        <v>93</v>
      </c>
    </row>
    <row r="772" spans="4:23" s="12" customFormat="1" ht="30.75" customHeight="1" thickTop="1" thickBot="1" x14ac:dyDescent="0.35">
      <c r="D772" s="10"/>
      <c r="G772" s="13">
        <f t="shared" ref="G772:G835" si="64">G771+1</f>
        <v>771</v>
      </c>
      <c r="H772" s="18">
        <v>45888</v>
      </c>
      <c r="I772" s="15" t="s">
        <v>31</v>
      </c>
      <c r="J772" s="15">
        <v>7680</v>
      </c>
      <c r="K772" s="15">
        <v>40</v>
      </c>
      <c r="L772" s="15">
        <v>7219.2</v>
      </c>
      <c r="M772" s="16">
        <f t="shared" si="60"/>
        <v>180.48</v>
      </c>
      <c r="N772" s="15">
        <v>0</v>
      </c>
      <c r="O772" s="16">
        <f t="shared" si="61"/>
        <v>7680</v>
      </c>
      <c r="P772" s="15" t="s">
        <v>18</v>
      </c>
      <c r="Q772" s="15">
        <v>0.06</v>
      </c>
      <c r="R772" s="16">
        <f t="shared" si="62"/>
        <v>460.79999999999995</v>
      </c>
      <c r="S772" s="15">
        <v>0</v>
      </c>
      <c r="T772" s="15">
        <v>0</v>
      </c>
      <c r="U772" s="17">
        <f t="shared" si="63"/>
        <v>460.79999999999995</v>
      </c>
      <c r="V772" s="12" t="s">
        <v>54</v>
      </c>
      <c r="W772" s="12">
        <v>93</v>
      </c>
    </row>
    <row r="773" spans="4:23" s="10" customFormat="1" ht="30.75" customHeight="1" thickTop="1" thickBot="1" x14ac:dyDescent="0.35">
      <c r="G773" s="25">
        <f t="shared" si="64"/>
        <v>772</v>
      </c>
      <c r="H773" s="26">
        <v>45888</v>
      </c>
      <c r="I773" s="16" t="s">
        <v>36</v>
      </c>
      <c r="J773" s="16">
        <v>650.08000000000004</v>
      </c>
      <c r="K773" s="16">
        <v>2</v>
      </c>
      <c r="L773" s="16">
        <v>611.08000000000004</v>
      </c>
      <c r="M773" s="16">
        <f t="shared" si="60"/>
        <v>305.54000000000002</v>
      </c>
      <c r="N773" s="15">
        <v>0</v>
      </c>
      <c r="O773" s="16">
        <f t="shared" si="61"/>
        <v>650.08000000000004</v>
      </c>
      <c r="P773" s="16" t="s">
        <v>18</v>
      </c>
      <c r="Q773" s="16">
        <v>0.06</v>
      </c>
      <c r="R773" s="16">
        <f t="shared" si="62"/>
        <v>39.004800000000003</v>
      </c>
      <c r="S773" s="15">
        <v>0</v>
      </c>
      <c r="T773" s="15">
        <v>0</v>
      </c>
      <c r="U773" s="17">
        <f t="shared" si="63"/>
        <v>39.004800000000003</v>
      </c>
      <c r="V773" s="12" t="s">
        <v>54</v>
      </c>
      <c r="W773" s="12">
        <v>93</v>
      </c>
    </row>
    <row r="774" spans="4:23" s="12" customFormat="1" ht="30.75" customHeight="1" thickTop="1" thickBot="1" x14ac:dyDescent="0.35">
      <c r="D774" s="10"/>
      <c r="G774" s="13">
        <f t="shared" si="64"/>
        <v>773</v>
      </c>
      <c r="H774" s="18">
        <v>45892</v>
      </c>
      <c r="I774" s="15" t="s">
        <v>30</v>
      </c>
      <c r="J774" s="15">
        <v>61450</v>
      </c>
      <c r="K774" s="15">
        <v>200</v>
      </c>
      <c r="L774" s="15">
        <v>39328</v>
      </c>
      <c r="M774" s="16">
        <f t="shared" si="60"/>
        <v>196.64</v>
      </c>
      <c r="N774" s="15">
        <v>0</v>
      </c>
      <c r="O774" s="16">
        <f t="shared" si="61"/>
        <v>61450</v>
      </c>
      <c r="P774" s="15" t="s">
        <v>18</v>
      </c>
      <c r="Q774" s="15">
        <v>0.06</v>
      </c>
      <c r="R774" s="16">
        <f t="shared" si="62"/>
        <v>3687</v>
      </c>
      <c r="S774" s="15">
        <v>0</v>
      </c>
      <c r="T774" s="15">
        <v>0</v>
      </c>
      <c r="U774" s="17">
        <f t="shared" si="63"/>
        <v>3687</v>
      </c>
      <c r="V774" s="12" t="s">
        <v>55</v>
      </c>
      <c r="W774" s="12">
        <v>94</v>
      </c>
    </row>
    <row r="775" spans="4:23" s="12" customFormat="1" ht="30.75" customHeight="1" thickTop="1" thickBot="1" x14ac:dyDescent="0.35">
      <c r="D775" s="10"/>
      <c r="G775" s="13">
        <f t="shared" si="64"/>
        <v>774</v>
      </c>
      <c r="H775" s="18">
        <v>45892</v>
      </c>
      <c r="I775" s="15" t="s">
        <v>17</v>
      </c>
      <c r="J775" s="15">
        <v>76812.5</v>
      </c>
      <c r="K775" s="15">
        <v>250</v>
      </c>
      <c r="L775" s="15">
        <v>49160</v>
      </c>
      <c r="M775" s="16">
        <f t="shared" si="60"/>
        <v>196.64</v>
      </c>
      <c r="N775" s="15">
        <v>0</v>
      </c>
      <c r="O775" s="16">
        <f t="shared" si="61"/>
        <v>76812.5</v>
      </c>
      <c r="P775" s="15" t="s">
        <v>18</v>
      </c>
      <c r="Q775" s="15">
        <v>0.06</v>
      </c>
      <c r="R775" s="16">
        <f t="shared" si="62"/>
        <v>4608.75</v>
      </c>
      <c r="S775" s="15">
        <v>0</v>
      </c>
      <c r="T775" s="15">
        <v>0</v>
      </c>
      <c r="U775" s="17">
        <f t="shared" si="63"/>
        <v>4608.75</v>
      </c>
      <c r="V775" s="12" t="s">
        <v>55</v>
      </c>
      <c r="W775" s="12">
        <v>94</v>
      </c>
    </row>
    <row r="776" spans="4:23" s="12" customFormat="1" ht="30.75" customHeight="1" thickTop="1" thickBot="1" x14ac:dyDescent="0.35">
      <c r="D776" s="10"/>
      <c r="G776" s="13">
        <f t="shared" si="64"/>
        <v>775</v>
      </c>
      <c r="H776" s="18">
        <v>45892</v>
      </c>
      <c r="I776" s="15" t="s">
        <v>35</v>
      </c>
      <c r="J776" s="15">
        <v>3504</v>
      </c>
      <c r="K776" s="15">
        <v>20</v>
      </c>
      <c r="L776" s="15">
        <v>3048.48</v>
      </c>
      <c r="M776" s="16">
        <f t="shared" si="60"/>
        <v>152.42400000000001</v>
      </c>
      <c r="N776" s="15">
        <v>0</v>
      </c>
      <c r="O776" s="16">
        <f t="shared" si="61"/>
        <v>3504</v>
      </c>
      <c r="P776" s="15" t="s">
        <v>18</v>
      </c>
      <c r="Q776" s="15">
        <v>0.06</v>
      </c>
      <c r="R776" s="16">
        <f t="shared" si="62"/>
        <v>210.23999999999998</v>
      </c>
      <c r="S776" s="15">
        <v>0</v>
      </c>
      <c r="T776" s="15">
        <v>0</v>
      </c>
      <c r="U776" s="17">
        <f t="shared" si="63"/>
        <v>210.23999999999998</v>
      </c>
      <c r="V776" s="12" t="s">
        <v>55</v>
      </c>
      <c r="W776" s="12">
        <v>94</v>
      </c>
    </row>
    <row r="777" spans="4:23" s="12" customFormat="1" ht="30.75" customHeight="1" thickTop="1" thickBot="1" x14ac:dyDescent="0.35">
      <c r="D777" s="10"/>
      <c r="G777" s="13">
        <f t="shared" si="64"/>
        <v>776</v>
      </c>
      <c r="H777" s="18">
        <v>45892</v>
      </c>
      <c r="I777" s="36" t="s">
        <v>20</v>
      </c>
      <c r="J777" s="15">
        <v>1560</v>
      </c>
      <c r="K777" s="15">
        <v>5</v>
      </c>
      <c r="L777" s="15">
        <v>1466.4</v>
      </c>
      <c r="M777" s="16">
        <f t="shared" si="60"/>
        <v>293.28000000000003</v>
      </c>
      <c r="N777" s="15">
        <v>0</v>
      </c>
      <c r="O777" s="16">
        <f t="shared" si="61"/>
        <v>1560</v>
      </c>
      <c r="P777" s="15" t="s">
        <v>18</v>
      </c>
      <c r="Q777" s="15">
        <v>0.06</v>
      </c>
      <c r="R777" s="16">
        <f t="shared" si="62"/>
        <v>93.6</v>
      </c>
      <c r="S777" s="15">
        <v>0</v>
      </c>
      <c r="T777" s="15">
        <v>0</v>
      </c>
      <c r="U777" s="17">
        <f t="shared" si="63"/>
        <v>93.6</v>
      </c>
      <c r="V777" s="12" t="s">
        <v>55</v>
      </c>
      <c r="W777" s="12">
        <v>94</v>
      </c>
    </row>
    <row r="778" spans="4:23" s="12" customFormat="1" ht="30.75" customHeight="1" thickTop="1" thickBot="1" x14ac:dyDescent="0.35">
      <c r="D778" s="10"/>
      <c r="G778" s="13">
        <f t="shared" si="64"/>
        <v>777</v>
      </c>
      <c r="H778" s="18">
        <v>45892</v>
      </c>
      <c r="I778" s="15" t="s">
        <v>21</v>
      </c>
      <c r="J778" s="15">
        <v>2472</v>
      </c>
      <c r="K778" s="15">
        <v>10</v>
      </c>
      <c r="L778" s="15">
        <v>2323.6799999999998</v>
      </c>
      <c r="M778" s="16">
        <f t="shared" si="60"/>
        <v>232.36799999999999</v>
      </c>
      <c r="N778" s="15">
        <v>0</v>
      </c>
      <c r="O778" s="16">
        <f t="shared" si="61"/>
        <v>2472</v>
      </c>
      <c r="P778" s="15" t="s">
        <v>18</v>
      </c>
      <c r="Q778" s="15">
        <v>0.06</v>
      </c>
      <c r="R778" s="16">
        <f t="shared" si="62"/>
        <v>148.32</v>
      </c>
      <c r="S778" s="15">
        <v>0</v>
      </c>
      <c r="T778" s="15">
        <v>0</v>
      </c>
      <c r="U778" s="17">
        <f t="shared" si="63"/>
        <v>148.32</v>
      </c>
      <c r="V778" s="12" t="s">
        <v>55</v>
      </c>
      <c r="W778" s="12">
        <v>94</v>
      </c>
    </row>
    <row r="779" spans="4:23" s="12" customFormat="1" ht="30.75" customHeight="1" thickTop="1" thickBot="1" x14ac:dyDescent="0.35">
      <c r="D779" s="10"/>
      <c r="G779" s="13">
        <f t="shared" si="64"/>
        <v>778</v>
      </c>
      <c r="H779" s="18">
        <v>45892</v>
      </c>
      <c r="I779" s="15" t="s">
        <v>23</v>
      </c>
      <c r="J779" s="15">
        <v>28800</v>
      </c>
      <c r="K779" s="15">
        <v>150</v>
      </c>
      <c r="L779" s="15">
        <v>27072</v>
      </c>
      <c r="M779" s="16">
        <f t="shared" si="60"/>
        <v>180.48</v>
      </c>
      <c r="N779" s="15">
        <v>0</v>
      </c>
      <c r="O779" s="16">
        <f t="shared" si="61"/>
        <v>28800</v>
      </c>
      <c r="P779" s="15" t="s">
        <v>18</v>
      </c>
      <c r="Q779" s="15">
        <v>0.06</v>
      </c>
      <c r="R779" s="16">
        <f t="shared" si="62"/>
        <v>1728</v>
      </c>
      <c r="S779" s="15">
        <v>0</v>
      </c>
      <c r="T779" s="15">
        <v>0</v>
      </c>
      <c r="U779" s="17">
        <f t="shared" si="63"/>
        <v>1728</v>
      </c>
      <c r="V779" s="12" t="s">
        <v>55</v>
      </c>
      <c r="W779" s="12">
        <v>94</v>
      </c>
    </row>
    <row r="780" spans="4:23" s="12" customFormat="1" ht="30.75" customHeight="1" thickTop="1" thickBot="1" x14ac:dyDescent="0.35">
      <c r="D780" s="10"/>
      <c r="G780" s="13">
        <f t="shared" si="64"/>
        <v>779</v>
      </c>
      <c r="H780" s="18">
        <v>45892</v>
      </c>
      <c r="I780" s="15" t="s">
        <v>24</v>
      </c>
      <c r="J780" s="15">
        <v>9751.2000000000007</v>
      </c>
      <c r="K780" s="15">
        <v>30</v>
      </c>
      <c r="L780" s="15">
        <v>9166.1299999999992</v>
      </c>
      <c r="M780" s="16">
        <f t="shared" si="60"/>
        <v>305.53766666666667</v>
      </c>
      <c r="N780" s="15">
        <v>0</v>
      </c>
      <c r="O780" s="16">
        <f t="shared" si="61"/>
        <v>9751.2000000000007</v>
      </c>
      <c r="P780" s="15" t="s">
        <v>18</v>
      </c>
      <c r="Q780" s="15">
        <v>0.06</v>
      </c>
      <c r="R780" s="16">
        <f t="shared" si="62"/>
        <v>585.072</v>
      </c>
      <c r="S780" s="15">
        <v>0</v>
      </c>
      <c r="T780" s="15">
        <v>0</v>
      </c>
      <c r="U780" s="17">
        <f t="shared" si="63"/>
        <v>585.072</v>
      </c>
      <c r="V780" s="12" t="s">
        <v>55</v>
      </c>
      <c r="W780" s="12">
        <v>94</v>
      </c>
    </row>
    <row r="781" spans="4:23" s="12" customFormat="1" ht="30.75" customHeight="1" thickTop="1" thickBot="1" x14ac:dyDescent="0.35">
      <c r="D781" s="10"/>
      <c r="G781" s="13">
        <f t="shared" si="64"/>
        <v>780</v>
      </c>
      <c r="H781" s="18">
        <v>45892</v>
      </c>
      <c r="I781" s="15" t="s">
        <v>31</v>
      </c>
      <c r="J781" s="15">
        <v>7680</v>
      </c>
      <c r="K781" s="15">
        <v>40</v>
      </c>
      <c r="L781" s="15">
        <v>7219.2</v>
      </c>
      <c r="M781" s="16">
        <f t="shared" si="60"/>
        <v>180.48</v>
      </c>
      <c r="N781" s="15">
        <v>0</v>
      </c>
      <c r="O781" s="16">
        <f t="shared" si="61"/>
        <v>7680</v>
      </c>
      <c r="P781" s="15" t="s">
        <v>18</v>
      </c>
      <c r="Q781" s="15">
        <v>0.06</v>
      </c>
      <c r="R781" s="16">
        <f t="shared" si="62"/>
        <v>460.79999999999995</v>
      </c>
      <c r="S781" s="15">
        <v>0</v>
      </c>
      <c r="T781" s="15">
        <v>0</v>
      </c>
      <c r="U781" s="17">
        <f t="shared" si="63"/>
        <v>460.79999999999995</v>
      </c>
      <c r="V781" s="12" t="s">
        <v>55</v>
      </c>
      <c r="W781" s="12">
        <v>94</v>
      </c>
    </row>
    <row r="782" spans="4:23" s="12" customFormat="1" ht="30.75" customHeight="1" thickTop="1" thickBot="1" x14ac:dyDescent="0.35">
      <c r="D782" s="10"/>
      <c r="G782" s="13">
        <f t="shared" si="64"/>
        <v>781</v>
      </c>
      <c r="H782" s="18">
        <v>45892</v>
      </c>
      <c r="I782" s="15" t="s">
        <v>36</v>
      </c>
      <c r="J782" s="15">
        <v>975.12</v>
      </c>
      <c r="K782" s="15">
        <v>3</v>
      </c>
      <c r="L782" s="15">
        <v>916.61</v>
      </c>
      <c r="M782" s="16">
        <f t="shared" si="60"/>
        <v>305.53666666666669</v>
      </c>
      <c r="N782" s="15">
        <v>0</v>
      </c>
      <c r="O782" s="16">
        <f t="shared" si="61"/>
        <v>975.12</v>
      </c>
      <c r="P782" s="15" t="s">
        <v>18</v>
      </c>
      <c r="Q782" s="15">
        <v>0.06</v>
      </c>
      <c r="R782" s="16">
        <f t="shared" si="62"/>
        <v>58.507199999999997</v>
      </c>
      <c r="S782" s="15">
        <v>0</v>
      </c>
      <c r="T782" s="15">
        <v>0</v>
      </c>
      <c r="U782" s="17">
        <f t="shared" si="63"/>
        <v>58.507199999999997</v>
      </c>
      <c r="V782" s="12" t="s">
        <v>55</v>
      </c>
      <c r="W782" s="12">
        <v>94</v>
      </c>
    </row>
    <row r="783" spans="4:23" s="12" customFormat="1" ht="30.75" customHeight="1" thickTop="1" thickBot="1" x14ac:dyDescent="0.35">
      <c r="D783" s="10"/>
      <c r="G783" s="13">
        <f t="shared" si="64"/>
        <v>782</v>
      </c>
      <c r="H783" s="18">
        <v>45892</v>
      </c>
      <c r="I783" s="15" t="s">
        <v>25</v>
      </c>
      <c r="J783" s="15">
        <v>72006</v>
      </c>
      <c r="K783" s="15">
        <v>300</v>
      </c>
      <c r="L783" s="15">
        <v>57050.35</v>
      </c>
      <c r="M783" s="16">
        <f t="shared" si="60"/>
        <v>190.16783333333333</v>
      </c>
      <c r="N783" s="15">
        <v>0</v>
      </c>
      <c r="O783" s="16">
        <f t="shared" si="61"/>
        <v>72006</v>
      </c>
      <c r="P783" s="15" t="s">
        <v>26</v>
      </c>
      <c r="Q783" s="15">
        <v>0.02</v>
      </c>
      <c r="R783" s="16">
        <f t="shared" si="62"/>
        <v>1440.1200000000001</v>
      </c>
      <c r="S783" s="15">
        <v>0</v>
      </c>
      <c r="T783" s="15">
        <v>0</v>
      </c>
      <c r="U783" s="17">
        <f t="shared" si="63"/>
        <v>1440.1200000000001</v>
      </c>
      <c r="V783" s="12" t="s">
        <v>55</v>
      </c>
      <c r="W783" s="12">
        <v>94</v>
      </c>
    </row>
    <row r="784" spans="4:23" s="12" customFormat="1" ht="30.75" customHeight="1" thickTop="1" thickBot="1" x14ac:dyDescent="0.35">
      <c r="D784" s="10"/>
      <c r="G784" s="13">
        <f t="shared" si="64"/>
        <v>783</v>
      </c>
      <c r="H784" s="18">
        <v>45892</v>
      </c>
      <c r="I784" s="15" t="s">
        <v>37</v>
      </c>
      <c r="J784" s="15">
        <v>26257.5</v>
      </c>
      <c r="K784" s="15">
        <v>50</v>
      </c>
      <c r="L784" s="15">
        <v>25601.06</v>
      </c>
      <c r="M784" s="16">
        <f t="shared" si="60"/>
        <v>512.02120000000002</v>
      </c>
      <c r="N784" s="15">
        <v>0</v>
      </c>
      <c r="O784" s="16">
        <f t="shared" si="61"/>
        <v>26257.5</v>
      </c>
      <c r="P784" s="15" t="s">
        <v>29</v>
      </c>
      <c r="Q784" s="15">
        <v>0.02</v>
      </c>
      <c r="R784" s="16">
        <f t="shared" si="62"/>
        <v>525.15</v>
      </c>
      <c r="S784" s="15">
        <v>0</v>
      </c>
      <c r="T784" s="15">
        <v>0</v>
      </c>
      <c r="U784" s="17">
        <f t="shared" si="63"/>
        <v>525.15</v>
      </c>
      <c r="V784" s="12" t="s">
        <v>55</v>
      </c>
      <c r="W784" s="12">
        <v>94</v>
      </c>
    </row>
    <row r="785" spans="4:23" s="12" customFormat="1" ht="30.75" customHeight="1" thickTop="1" thickBot="1" x14ac:dyDescent="0.35">
      <c r="D785" s="10"/>
      <c r="G785" s="13">
        <f t="shared" si="64"/>
        <v>784</v>
      </c>
      <c r="H785" s="18">
        <v>45892</v>
      </c>
      <c r="I785" s="15" t="s">
        <v>28</v>
      </c>
      <c r="J785" s="15">
        <v>26257.5</v>
      </c>
      <c r="K785" s="15">
        <v>50</v>
      </c>
      <c r="L785" s="15">
        <v>25601.06</v>
      </c>
      <c r="M785" s="16">
        <f t="shared" si="60"/>
        <v>512.02120000000002</v>
      </c>
      <c r="N785" s="15">
        <v>0</v>
      </c>
      <c r="O785" s="16">
        <f t="shared" si="61"/>
        <v>26257.5</v>
      </c>
      <c r="P785" s="15" t="s">
        <v>29</v>
      </c>
      <c r="Q785" s="15">
        <v>0.02</v>
      </c>
      <c r="R785" s="16">
        <f t="shared" si="62"/>
        <v>525.15</v>
      </c>
      <c r="S785" s="15">
        <v>0</v>
      </c>
      <c r="T785" s="15">
        <v>0</v>
      </c>
      <c r="U785" s="17">
        <f t="shared" si="63"/>
        <v>525.15</v>
      </c>
      <c r="V785" s="12" t="s">
        <v>55</v>
      </c>
      <c r="W785" s="12">
        <v>94</v>
      </c>
    </row>
    <row r="786" spans="4:23" s="12" customFormat="1" ht="30.75" customHeight="1" thickTop="1" thickBot="1" x14ac:dyDescent="0.35">
      <c r="D786" s="10"/>
      <c r="G786" s="13">
        <f t="shared" si="64"/>
        <v>785</v>
      </c>
      <c r="H786" s="18">
        <v>45893</v>
      </c>
      <c r="I786" s="15" t="s">
        <v>30</v>
      </c>
      <c r="J786" s="15">
        <v>55305</v>
      </c>
      <c r="K786" s="15">
        <v>180</v>
      </c>
      <c r="L786" s="15">
        <v>35395.199999999997</v>
      </c>
      <c r="M786" s="16">
        <f t="shared" si="60"/>
        <v>196.64</v>
      </c>
      <c r="N786" s="15">
        <v>0</v>
      </c>
      <c r="O786" s="16">
        <f t="shared" si="61"/>
        <v>55305</v>
      </c>
      <c r="P786" s="15" t="s">
        <v>18</v>
      </c>
      <c r="Q786" s="15">
        <v>0.06</v>
      </c>
      <c r="R786" s="16">
        <f t="shared" si="62"/>
        <v>3318.2999999999997</v>
      </c>
      <c r="S786" s="15">
        <v>0</v>
      </c>
      <c r="T786" s="15">
        <v>0</v>
      </c>
      <c r="U786" s="17">
        <f t="shared" si="63"/>
        <v>3318.2999999999997</v>
      </c>
      <c r="V786" s="12" t="s">
        <v>55</v>
      </c>
      <c r="W786" s="12">
        <v>95</v>
      </c>
    </row>
    <row r="787" spans="4:23" s="12" customFormat="1" ht="30.75" customHeight="1" thickTop="1" thickBot="1" x14ac:dyDescent="0.35">
      <c r="D787" s="10"/>
      <c r="G787" s="13">
        <f t="shared" si="64"/>
        <v>786</v>
      </c>
      <c r="H787" s="18">
        <v>45893</v>
      </c>
      <c r="I787" s="15" t="s">
        <v>17</v>
      </c>
      <c r="J787" s="15">
        <v>81114</v>
      </c>
      <c r="K787" s="15">
        <v>264</v>
      </c>
      <c r="L787" s="15">
        <v>51912.959999999999</v>
      </c>
      <c r="M787" s="16">
        <f t="shared" si="60"/>
        <v>196.64</v>
      </c>
      <c r="N787" s="15">
        <v>0</v>
      </c>
      <c r="O787" s="16">
        <f t="shared" si="61"/>
        <v>81114</v>
      </c>
      <c r="P787" s="15" t="s">
        <v>18</v>
      </c>
      <c r="Q787" s="15">
        <v>0.06</v>
      </c>
      <c r="R787" s="16">
        <f t="shared" si="62"/>
        <v>4866.84</v>
      </c>
      <c r="S787" s="15">
        <v>0</v>
      </c>
      <c r="T787" s="15">
        <v>0</v>
      </c>
      <c r="U787" s="17">
        <f t="shared" si="63"/>
        <v>4866.84</v>
      </c>
      <c r="V787" s="12" t="s">
        <v>55</v>
      </c>
      <c r="W787" s="12">
        <v>95</v>
      </c>
    </row>
    <row r="788" spans="4:23" s="12" customFormat="1" ht="30.75" customHeight="1" thickTop="1" thickBot="1" x14ac:dyDescent="0.35">
      <c r="D788" s="10"/>
      <c r="G788" s="13">
        <f t="shared" si="64"/>
        <v>787</v>
      </c>
      <c r="H788" s="18">
        <v>45893</v>
      </c>
      <c r="I788" s="36" t="s">
        <v>20</v>
      </c>
      <c r="J788" s="15">
        <v>936</v>
      </c>
      <c r="K788" s="15">
        <v>3</v>
      </c>
      <c r="L788" s="15">
        <v>879.84</v>
      </c>
      <c r="M788" s="16">
        <f t="shared" si="60"/>
        <v>293.28000000000003</v>
      </c>
      <c r="N788" s="15">
        <v>0</v>
      </c>
      <c r="O788" s="16">
        <f t="shared" si="61"/>
        <v>936</v>
      </c>
      <c r="P788" s="15" t="s">
        <v>18</v>
      </c>
      <c r="Q788" s="15">
        <v>0.06</v>
      </c>
      <c r="R788" s="16">
        <f t="shared" si="62"/>
        <v>56.16</v>
      </c>
      <c r="S788" s="15">
        <v>0</v>
      </c>
      <c r="T788" s="15">
        <v>0</v>
      </c>
      <c r="U788" s="17">
        <f t="shared" si="63"/>
        <v>56.16</v>
      </c>
      <c r="V788" s="12" t="s">
        <v>55</v>
      </c>
      <c r="W788" s="12">
        <v>95</v>
      </c>
    </row>
    <row r="789" spans="4:23" s="12" customFormat="1" ht="30.75" customHeight="1" thickTop="1" thickBot="1" x14ac:dyDescent="0.35">
      <c r="D789" s="10"/>
      <c r="G789" s="13">
        <f t="shared" si="64"/>
        <v>788</v>
      </c>
      <c r="H789" s="18">
        <v>45893</v>
      </c>
      <c r="I789" s="15" t="s">
        <v>23</v>
      </c>
      <c r="J789" s="15">
        <v>32640</v>
      </c>
      <c r="K789" s="15">
        <v>170</v>
      </c>
      <c r="L789" s="15">
        <v>30681.599999999999</v>
      </c>
      <c r="M789" s="16">
        <f t="shared" si="60"/>
        <v>180.48</v>
      </c>
      <c r="N789" s="15">
        <v>0</v>
      </c>
      <c r="O789" s="16">
        <f t="shared" si="61"/>
        <v>32640</v>
      </c>
      <c r="P789" s="15" t="s">
        <v>18</v>
      </c>
      <c r="Q789" s="15">
        <v>0.06</v>
      </c>
      <c r="R789" s="16">
        <f t="shared" si="62"/>
        <v>1958.3999999999999</v>
      </c>
      <c r="S789" s="15">
        <v>0</v>
      </c>
      <c r="T789" s="15">
        <v>0</v>
      </c>
      <c r="U789" s="17">
        <f t="shared" si="63"/>
        <v>1958.3999999999999</v>
      </c>
      <c r="V789" s="12" t="s">
        <v>55</v>
      </c>
      <c r="W789" s="12">
        <v>95</v>
      </c>
    </row>
    <row r="790" spans="4:23" s="12" customFormat="1" ht="30.75" customHeight="1" thickTop="1" thickBot="1" x14ac:dyDescent="0.35">
      <c r="D790" s="10"/>
      <c r="G790" s="13">
        <f t="shared" si="64"/>
        <v>789</v>
      </c>
      <c r="H790" s="18">
        <v>45893</v>
      </c>
      <c r="I790" s="15" t="s">
        <v>24</v>
      </c>
      <c r="J790" s="15">
        <v>6500.8</v>
      </c>
      <c r="K790" s="15">
        <v>20</v>
      </c>
      <c r="L790" s="15">
        <v>6110.75</v>
      </c>
      <c r="M790" s="16">
        <f t="shared" si="60"/>
        <v>305.53750000000002</v>
      </c>
      <c r="N790" s="15">
        <v>0</v>
      </c>
      <c r="O790" s="16">
        <f t="shared" si="61"/>
        <v>6500.8</v>
      </c>
      <c r="P790" s="15" t="s">
        <v>18</v>
      </c>
      <c r="Q790" s="15">
        <v>0.06</v>
      </c>
      <c r="R790" s="16">
        <f t="shared" si="62"/>
        <v>390.048</v>
      </c>
      <c r="S790" s="15">
        <v>0</v>
      </c>
      <c r="T790" s="15">
        <v>0</v>
      </c>
      <c r="U790" s="17">
        <f t="shared" si="63"/>
        <v>390.048</v>
      </c>
      <c r="V790" s="12" t="s">
        <v>55</v>
      </c>
      <c r="W790" s="12">
        <v>95</v>
      </c>
    </row>
    <row r="791" spans="4:23" s="12" customFormat="1" ht="30.75" customHeight="1" thickTop="1" thickBot="1" x14ac:dyDescent="0.35">
      <c r="D791" s="10"/>
      <c r="G791" s="13">
        <f t="shared" si="64"/>
        <v>790</v>
      </c>
      <c r="H791" s="18">
        <v>45893</v>
      </c>
      <c r="I791" s="15" t="s">
        <v>31</v>
      </c>
      <c r="J791" s="15">
        <v>3840</v>
      </c>
      <c r="K791" s="15">
        <v>20</v>
      </c>
      <c r="L791" s="15">
        <v>3609.6</v>
      </c>
      <c r="M791" s="16">
        <f t="shared" si="60"/>
        <v>180.48</v>
      </c>
      <c r="N791" s="15">
        <v>0</v>
      </c>
      <c r="O791" s="16">
        <f t="shared" si="61"/>
        <v>3840</v>
      </c>
      <c r="P791" s="15" t="s">
        <v>18</v>
      </c>
      <c r="Q791" s="15">
        <v>0.06</v>
      </c>
      <c r="R791" s="16">
        <f t="shared" si="62"/>
        <v>230.39999999999998</v>
      </c>
      <c r="S791" s="15">
        <v>0</v>
      </c>
      <c r="T791" s="15">
        <v>0</v>
      </c>
      <c r="U791" s="17">
        <f t="shared" si="63"/>
        <v>230.39999999999998</v>
      </c>
      <c r="V791" s="12" t="s">
        <v>55</v>
      </c>
      <c r="W791" s="12">
        <v>95</v>
      </c>
    </row>
    <row r="792" spans="4:23" s="12" customFormat="1" ht="30.75" customHeight="1" thickTop="1" thickBot="1" x14ac:dyDescent="0.35">
      <c r="D792" s="10"/>
      <c r="G792" s="13">
        <f t="shared" si="64"/>
        <v>791</v>
      </c>
      <c r="H792" s="18">
        <v>45893</v>
      </c>
      <c r="I792" s="15" t="s">
        <v>36</v>
      </c>
      <c r="J792" s="15">
        <v>975.12</v>
      </c>
      <c r="K792" s="15">
        <v>3</v>
      </c>
      <c r="L792" s="15">
        <v>916.61</v>
      </c>
      <c r="M792" s="16">
        <f t="shared" si="60"/>
        <v>305.53666666666669</v>
      </c>
      <c r="N792" s="15">
        <v>0</v>
      </c>
      <c r="O792" s="16">
        <f t="shared" si="61"/>
        <v>975.12</v>
      </c>
      <c r="P792" s="15" t="s">
        <v>18</v>
      </c>
      <c r="Q792" s="15">
        <v>0.06</v>
      </c>
      <c r="R792" s="16">
        <f t="shared" si="62"/>
        <v>58.507199999999997</v>
      </c>
      <c r="S792" s="15">
        <v>0</v>
      </c>
      <c r="T792" s="15">
        <v>0</v>
      </c>
      <c r="U792" s="17">
        <f t="shared" si="63"/>
        <v>58.507199999999997</v>
      </c>
      <c r="V792" s="12" t="s">
        <v>55</v>
      </c>
      <c r="W792" s="12">
        <v>95</v>
      </c>
    </row>
    <row r="793" spans="4:23" s="12" customFormat="1" ht="30.75" customHeight="1" thickTop="1" thickBot="1" x14ac:dyDescent="0.35">
      <c r="D793" s="10"/>
      <c r="G793" s="13">
        <f t="shared" si="64"/>
        <v>792</v>
      </c>
      <c r="H793" s="18">
        <v>45893</v>
      </c>
      <c r="I793" s="15" t="s">
        <v>41</v>
      </c>
      <c r="J793" s="15">
        <v>60528.6</v>
      </c>
      <c r="K793" s="15">
        <v>450</v>
      </c>
      <c r="L793" s="15">
        <v>49663.72</v>
      </c>
      <c r="M793" s="16">
        <f t="shared" si="60"/>
        <v>110.36382222222223</v>
      </c>
      <c r="N793" s="15">
        <v>0</v>
      </c>
      <c r="O793" s="16">
        <f t="shared" si="61"/>
        <v>60528.6</v>
      </c>
      <c r="P793" s="15" t="s">
        <v>26</v>
      </c>
      <c r="Q793" s="15">
        <v>0.02</v>
      </c>
      <c r="R793" s="16">
        <f t="shared" si="62"/>
        <v>1210.5719999999999</v>
      </c>
      <c r="S793" s="15">
        <v>0</v>
      </c>
      <c r="T793" s="15">
        <v>0</v>
      </c>
      <c r="U793" s="17">
        <f t="shared" si="63"/>
        <v>1210.5719999999999</v>
      </c>
      <c r="V793" s="12" t="s">
        <v>55</v>
      </c>
      <c r="W793" s="12">
        <v>95</v>
      </c>
    </row>
    <row r="794" spans="4:23" s="12" customFormat="1" ht="30.75" customHeight="1" thickTop="1" thickBot="1" x14ac:dyDescent="0.35">
      <c r="D794" s="10"/>
      <c r="G794" s="13">
        <f t="shared" si="64"/>
        <v>793</v>
      </c>
      <c r="H794" s="18">
        <v>45895</v>
      </c>
      <c r="I794" s="15" t="s">
        <v>30</v>
      </c>
      <c r="J794" s="15">
        <v>92175</v>
      </c>
      <c r="K794" s="15">
        <v>300</v>
      </c>
      <c r="L794" s="15">
        <v>58992</v>
      </c>
      <c r="M794" s="16">
        <f t="shared" si="60"/>
        <v>196.64</v>
      </c>
      <c r="N794" s="15">
        <v>0</v>
      </c>
      <c r="O794" s="16">
        <f t="shared" si="61"/>
        <v>92175</v>
      </c>
      <c r="P794" s="15" t="s">
        <v>18</v>
      </c>
      <c r="Q794" s="15">
        <v>0.06</v>
      </c>
      <c r="R794" s="16">
        <f t="shared" si="62"/>
        <v>5530.5</v>
      </c>
      <c r="S794" s="15">
        <v>0</v>
      </c>
      <c r="T794" s="15">
        <v>0</v>
      </c>
      <c r="U794" s="17">
        <f t="shared" si="63"/>
        <v>5530.5</v>
      </c>
      <c r="V794" s="12" t="s">
        <v>55</v>
      </c>
      <c r="W794" s="12">
        <v>96</v>
      </c>
    </row>
    <row r="795" spans="4:23" s="12" customFormat="1" ht="30.75" customHeight="1" thickTop="1" thickBot="1" x14ac:dyDescent="0.35">
      <c r="D795" s="10"/>
      <c r="G795" s="13">
        <f t="shared" si="64"/>
        <v>794</v>
      </c>
      <c r="H795" s="18">
        <v>45895</v>
      </c>
      <c r="I795" s="15" t="s">
        <v>17</v>
      </c>
      <c r="J795" s="15">
        <v>145943.75</v>
      </c>
      <c r="K795" s="15">
        <v>475</v>
      </c>
      <c r="L795" s="15">
        <v>93404</v>
      </c>
      <c r="M795" s="16">
        <f t="shared" si="60"/>
        <v>196.64</v>
      </c>
      <c r="N795" s="15">
        <v>0</v>
      </c>
      <c r="O795" s="16">
        <f t="shared" si="61"/>
        <v>145943.75</v>
      </c>
      <c r="P795" s="15" t="s">
        <v>18</v>
      </c>
      <c r="Q795" s="15">
        <v>0.06</v>
      </c>
      <c r="R795" s="16">
        <f t="shared" si="62"/>
        <v>8756.625</v>
      </c>
      <c r="S795" s="15">
        <v>0</v>
      </c>
      <c r="T795" s="15">
        <v>0</v>
      </c>
      <c r="U795" s="17">
        <f t="shared" si="63"/>
        <v>8756.625</v>
      </c>
      <c r="V795" s="12" t="s">
        <v>55</v>
      </c>
      <c r="W795" s="12">
        <v>96</v>
      </c>
    </row>
    <row r="796" spans="4:23" s="12" customFormat="1" ht="30.75" customHeight="1" thickTop="1" thickBot="1" x14ac:dyDescent="0.35">
      <c r="D796" s="10"/>
      <c r="G796" s="13">
        <f t="shared" si="64"/>
        <v>795</v>
      </c>
      <c r="H796" s="18">
        <v>45895</v>
      </c>
      <c r="I796" s="15" t="s">
        <v>35</v>
      </c>
      <c r="J796" s="15">
        <v>3504</v>
      </c>
      <c r="K796" s="15">
        <v>20</v>
      </c>
      <c r="L796" s="15">
        <v>3048.48</v>
      </c>
      <c r="M796" s="16">
        <f t="shared" si="60"/>
        <v>152.42400000000001</v>
      </c>
      <c r="N796" s="15">
        <v>0</v>
      </c>
      <c r="O796" s="16">
        <f t="shared" si="61"/>
        <v>3504</v>
      </c>
      <c r="P796" s="15" t="s">
        <v>18</v>
      </c>
      <c r="Q796" s="15">
        <v>0.06</v>
      </c>
      <c r="R796" s="16">
        <f t="shared" si="62"/>
        <v>210.23999999999998</v>
      </c>
      <c r="S796" s="15">
        <v>0</v>
      </c>
      <c r="T796" s="15">
        <v>0</v>
      </c>
      <c r="U796" s="17">
        <f t="shared" si="63"/>
        <v>210.23999999999998</v>
      </c>
      <c r="V796" s="12" t="s">
        <v>55</v>
      </c>
      <c r="W796" s="12">
        <v>96</v>
      </c>
    </row>
    <row r="797" spans="4:23" s="12" customFormat="1" ht="30.75" customHeight="1" thickTop="1" thickBot="1" x14ac:dyDescent="0.35">
      <c r="D797" s="10"/>
      <c r="G797" s="13">
        <f t="shared" si="64"/>
        <v>796</v>
      </c>
      <c r="H797" s="18">
        <v>45895</v>
      </c>
      <c r="I797" s="36" t="s">
        <v>20</v>
      </c>
      <c r="J797" s="15">
        <v>936</v>
      </c>
      <c r="K797" s="15">
        <v>3</v>
      </c>
      <c r="L797" s="15">
        <v>879.84</v>
      </c>
      <c r="M797" s="16">
        <f t="shared" si="60"/>
        <v>293.28000000000003</v>
      </c>
      <c r="N797" s="15">
        <v>0</v>
      </c>
      <c r="O797" s="16">
        <f t="shared" si="61"/>
        <v>936</v>
      </c>
      <c r="P797" s="15" t="s">
        <v>18</v>
      </c>
      <c r="Q797" s="15">
        <v>0.06</v>
      </c>
      <c r="R797" s="16">
        <f t="shared" si="62"/>
        <v>56.16</v>
      </c>
      <c r="S797" s="15">
        <v>0</v>
      </c>
      <c r="T797" s="15">
        <v>0</v>
      </c>
      <c r="U797" s="17">
        <f t="shared" si="63"/>
        <v>56.16</v>
      </c>
      <c r="V797" s="12" t="s">
        <v>55</v>
      </c>
      <c r="W797" s="12">
        <v>96</v>
      </c>
    </row>
    <row r="798" spans="4:23" s="12" customFormat="1" ht="30.75" customHeight="1" thickTop="1" thickBot="1" x14ac:dyDescent="0.35">
      <c r="D798" s="10"/>
      <c r="G798" s="13">
        <f t="shared" si="64"/>
        <v>797</v>
      </c>
      <c r="H798" s="18">
        <v>45895</v>
      </c>
      <c r="I798" s="15" t="s">
        <v>21</v>
      </c>
      <c r="J798" s="15">
        <v>1977.6</v>
      </c>
      <c r="K798" s="15">
        <v>8</v>
      </c>
      <c r="L798" s="15">
        <v>1858.94</v>
      </c>
      <c r="M798" s="16">
        <f t="shared" si="60"/>
        <v>232.36750000000001</v>
      </c>
      <c r="N798" s="15">
        <v>0</v>
      </c>
      <c r="O798" s="16">
        <f t="shared" si="61"/>
        <v>1977.6</v>
      </c>
      <c r="P798" s="15" t="s">
        <v>18</v>
      </c>
      <c r="Q798" s="15">
        <v>0.06</v>
      </c>
      <c r="R798" s="16">
        <f t="shared" si="62"/>
        <v>118.65599999999999</v>
      </c>
      <c r="S798" s="15">
        <v>0</v>
      </c>
      <c r="T798" s="15">
        <v>0</v>
      </c>
      <c r="U798" s="17">
        <f t="shared" si="63"/>
        <v>118.65599999999999</v>
      </c>
      <c r="V798" s="12" t="s">
        <v>55</v>
      </c>
      <c r="W798" s="12">
        <v>96</v>
      </c>
    </row>
    <row r="799" spans="4:23" s="12" customFormat="1" ht="30.75" customHeight="1" thickTop="1" thickBot="1" x14ac:dyDescent="0.35">
      <c r="D799" s="10"/>
      <c r="G799" s="13">
        <f t="shared" si="64"/>
        <v>798</v>
      </c>
      <c r="H799" s="18">
        <v>45895</v>
      </c>
      <c r="I799" s="15" t="s">
        <v>22</v>
      </c>
      <c r="J799" s="15">
        <v>1346.25</v>
      </c>
      <c r="K799" s="15">
        <v>5</v>
      </c>
      <c r="L799" s="15">
        <v>1265.48</v>
      </c>
      <c r="M799" s="16">
        <f t="shared" si="60"/>
        <v>253.096</v>
      </c>
      <c r="N799" s="15">
        <v>0</v>
      </c>
      <c r="O799" s="16">
        <f t="shared" si="61"/>
        <v>1346.25</v>
      </c>
      <c r="P799" s="15" t="s">
        <v>18</v>
      </c>
      <c r="Q799" s="15">
        <v>0.06</v>
      </c>
      <c r="R799" s="16">
        <f t="shared" si="62"/>
        <v>80.774999999999991</v>
      </c>
      <c r="S799" s="15">
        <v>0</v>
      </c>
      <c r="T799" s="15">
        <v>0</v>
      </c>
      <c r="U799" s="17">
        <f t="shared" si="63"/>
        <v>80.774999999999991</v>
      </c>
      <c r="V799" s="12" t="s">
        <v>55</v>
      </c>
      <c r="W799" s="12">
        <v>96</v>
      </c>
    </row>
    <row r="800" spans="4:23" s="12" customFormat="1" ht="30.75" customHeight="1" thickTop="1" thickBot="1" x14ac:dyDescent="0.35">
      <c r="D800" s="10"/>
      <c r="G800" s="13">
        <f t="shared" si="64"/>
        <v>799</v>
      </c>
      <c r="H800" s="18">
        <v>45895</v>
      </c>
      <c r="I800" s="15" t="s">
        <v>23</v>
      </c>
      <c r="J800" s="15">
        <v>28800</v>
      </c>
      <c r="K800" s="15">
        <v>150</v>
      </c>
      <c r="L800" s="15">
        <v>27072</v>
      </c>
      <c r="M800" s="16">
        <f t="shared" si="60"/>
        <v>180.48</v>
      </c>
      <c r="N800" s="15">
        <v>0</v>
      </c>
      <c r="O800" s="16">
        <f t="shared" si="61"/>
        <v>28800</v>
      </c>
      <c r="P800" s="15" t="s">
        <v>18</v>
      </c>
      <c r="Q800" s="15">
        <v>0.06</v>
      </c>
      <c r="R800" s="16">
        <f t="shared" si="62"/>
        <v>1728</v>
      </c>
      <c r="S800" s="15">
        <v>0</v>
      </c>
      <c r="T800" s="15">
        <v>0</v>
      </c>
      <c r="U800" s="17">
        <f t="shared" si="63"/>
        <v>1728</v>
      </c>
      <c r="V800" s="12" t="s">
        <v>55</v>
      </c>
      <c r="W800" s="12">
        <v>96</v>
      </c>
    </row>
    <row r="801" spans="4:23" s="12" customFormat="1" ht="30.75" customHeight="1" thickTop="1" thickBot="1" x14ac:dyDescent="0.35">
      <c r="D801" s="10"/>
      <c r="G801" s="13">
        <f t="shared" si="64"/>
        <v>800</v>
      </c>
      <c r="H801" s="18">
        <v>45895</v>
      </c>
      <c r="I801" s="15" t="s">
        <v>24</v>
      </c>
      <c r="J801" s="15">
        <v>6500.8</v>
      </c>
      <c r="K801" s="15">
        <v>20</v>
      </c>
      <c r="L801" s="15">
        <v>6110.75</v>
      </c>
      <c r="M801" s="16">
        <f t="shared" si="60"/>
        <v>305.53750000000002</v>
      </c>
      <c r="N801" s="15">
        <v>0</v>
      </c>
      <c r="O801" s="16">
        <f t="shared" si="61"/>
        <v>6500.8</v>
      </c>
      <c r="P801" s="15" t="s">
        <v>18</v>
      </c>
      <c r="Q801" s="15">
        <v>0.06</v>
      </c>
      <c r="R801" s="16">
        <f t="shared" si="62"/>
        <v>390.048</v>
      </c>
      <c r="S801" s="15">
        <v>0</v>
      </c>
      <c r="T801" s="15">
        <v>0</v>
      </c>
      <c r="U801" s="17">
        <f t="shared" si="63"/>
        <v>390.048</v>
      </c>
      <c r="V801" s="12" t="s">
        <v>55</v>
      </c>
      <c r="W801" s="12">
        <v>96</v>
      </c>
    </row>
    <row r="802" spans="4:23" s="12" customFormat="1" ht="30.75" customHeight="1" thickTop="1" thickBot="1" x14ac:dyDescent="0.35">
      <c r="D802" s="10"/>
      <c r="G802" s="13">
        <f t="shared" si="64"/>
        <v>801</v>
      </c>
      <c r="H802" s="18">
        <v>45895</v>
      </c>
      <c r="I802" s="15" t="s">
        <v>31</v>
      </c>
      <c r="J802" s="15">
        <v>6720</v>
      </c>
      <c r="K802" s="15">
        <v>35</v>
      </c>
      <c r="L802" s="15">
        <v>6316</v>
      </c>
      <c r="M802" s="16">
        <f t="shared" si="60"/>
        <v>180.45714285714286</v>
      </c>
      <c r="N802" s="15">
        <v>0</v>
      </c>
      <c r="O802" s="16">
        <f t="shared" si="61"/>
        <v>6720</v>
      </c>
      <c r="P802" s="15" t="s">
        <v>18</v>
      </c>
      <c r="Q802" s="15">
        <v>0.06</v>
      </c>
      <c r="R802" s="16">
        <f t="shared" si="62"/>
        <v>403.2</v>
      </c>
      <c r="S802" s="15">
        <v>0</v>
      </c>
      <c r="T802" s="15">
        <v>0</v>
      </c>
      <c r="U802" s="17">
        <f t="shared" si="63"/>
        <v>403.2</v>
      </c>
      <c r="V802" s="12" t="s">
        <v>55</v>
      </c>
      <c r="W802" s="12">
        <v>96</v>
      </c>
    </row>
    <row r="803" spans="4:23" s="12" customFormat="1" ht="30.75" customHeight="1" thickTop="1" thickBot="1" x14ac:dyDescent="0.35">
      <c r="D803" s="10"/>
      <c r="G803" s="13">
        <f t="shared" si="64"/>
        <v>802</v>
      </c>
      <c r="H803" s="18">
        <v>45895</v>
      </c>
      <c r="I803" s="15" t="s">
        <v>36</v>
      </c>
      <c r="J803" s="15">
        <v>975.12</v>
      </c>
      <c r="K803" s="15">
        <v>3</v>
      </c>
      <c r="L803" s="15">
        <v>916.61</v>
      </c>
      <c r="M803" s="16">
        <f t="shared" si="60"/>
        <v>305.53666666666669</v>
      </c>
      <c r="N803" s="15">
        <v>0</v>
      </c>
      <c r="O803" s="16">
        <f t="shared" si="61"/>
        <v>975.12</v>
      </c>
      <c r="P803" s="15" t="s">
        <v>18</v>
      </c>
      <c r="Q803" s="15">
        <v>0.06</v>
      </c>
      <c r="R803" s="16">
        <f t="shared" si="62"/>
        <v>58.507199999999997</v>
      </c>
      <c r="S803" s="15">
        <v>0</v>
      </c>
      <c r="T803" s="15">
        <v>0</v>
      </c>
      <c r="U803" s="17">
        <f t="shared" si="63"/>
        <v>58.507199999999997</v>
      </c>
      <c r="V803" s="12" t="s">
        <v>55</v>
      </c>
      <c r="W803" s="12">
        <v>96</v>
      </c>
    </row>
    <row r="804" spans="4:23" s="12" customFormat="1" ht="30.75" customHeight="1" thickTop="1" thickBot="1" x14ac:dyDescent="0.35">
      <c r="D804" s="10"/>
      <c r="G804" s="13">
        <f t="shared" si="64"/>
        <v>803</v>
      </c>
      <c r="H804" s="18">
        <v>45895</v>
      </c>
      <c r="I804" s="15" t="s">
        <v>45</v>
      </c>
      <c r="J804" s="15">
        <v>5940</v>
      </c>
      <c r="K804" s="15">
        <v>10</v>
      </c>
      <c r="L804" s="15">
        <v>5476.68</v>
      </c>
      <c r="M804" s="16">
        <f t="shared" si="60"/>
        <v>547.66800000000001</v>
      </c>
      <c r="N804" s="15">
        <v>0</v>
      </c>
      <c r="O804" s="16">
        <f t="shared" si="61"/>
        <v>5940</v>
      </c>
      <c r="P804" s="15" t="s">
        <v>33</v>
      </c>
      <c r="Q804" s="15">
        <v>0.01</v>
      </c>
      <c r="R804" s="16">
        <f t="shared" si="62"/>
        <v>59.4</v>
      </c>
      <c r="S804" s="15">
        <v>0</v>
      </c>
      <c r="T804" s="15">
        <v>0</v>
      </c>
      <c r="U804" s="17">
        <f t="shared" si="63"/>
        <v>59.4</v>
      </c>
      <c r="V804" s="12" t="s">
        <v>55</v>
      </c>
      <c r="W804" s="12">
        <v>96</v>
      </c>
    </row>
    <row r="805" spans="4:23" s="12" customFormat="1" ht="30.75" customHeight="1" thickTop="1" thickBot="1" x14ac:dyDescent="0.35">
      <c r="D805" s="10"/>
      <c r="G805" s="13">
        <f t="shared" si="64"/>
        <v>804</v>
      </c>
      <c r="H805" s="18">
        <v>45895</v>
      </c>
      <c r="I805" s="15" t="s">
        <v>32</v>
      </c>
      <c r="J805" s="15">
        <v>14850</v>
      </c>
      <c r="K805" s="15">
        <v>25</v>
      </c>
      <c r="L805" s="15">
        <v>13691.7</v>
      </c>
      <c r="M805" s="16">
        <f t="shared" si="60"/>
        <v>547.66800000000001</v>
      </c>
      <c r="N805" s="15">
        <v>0</v>
      </c>
      <c r="O805" s="16">
        <f t="shared" si="61"/>
        <v>14850</v>
      </c>
      <c r="P805" s="15" t="s">
        <v>33</v>
      </c>
      <c r="Q805" s="15">
        <v>0.01</v>
      </c>
      <c r="R805" s="16">
        <f t="shared" si="62"/>
        <v>148.5</v>
      </c>
      <c r="S805" s="15">
        <v>0</v>
      </c>
      <c r="T805" s="15">
        <v>0</v>
      </c>
      <c r="U805" s="17">
        <f t="shared" si="63"/>
        <v>148.5</v>
      </c>
      <c r="V805" s="12" t="s">
        <v>55</v>
      </c>
      <c r="W805" s="12">
        <v>96</v>
      </c>
    </row>
    <row r="806" spans="4:23" s="12" customFormat="1" ht="30.75" customHeight="1" thickTop="1" thickBot="1" x14ac:dyDescent="0.35">
      <c r="D806" s="10"/>
      <c r="G806" s="13">
        <f t="shared" si="64"/>
        <v>805</v>
      </c>
      <c r="H806" s="18">
        <v>45895</v>
      </c>
      <c r="I806" s="15" t="s">
        <v>47</v>
      </c>
      <c r="J806" s="15">
        <v>9303</v>
      </c>
      <c r="K806" s="15">
        <v>25</v>
      </c>
      <c r="L806" s="15">
        <v>8744.82</v>
      </c>
      <c r="M806" s="16">
        <f t="shared" si="60"/>
        <v>349.7928</v>
      </c>
      <c r="N806" s="15">
        <v>0</v>
      </c>
      <c r="O806" s="16">
        <f t="shared" si="61"/>
        <v>9303</v>
      </c>
      <c r="P806" s="15" t="s">
        <v>26</v>
      </c>
      <c r="Q806" s="15">
        <v>0.02</v>
      </c>
      <c r="R806" s="16">
        <f t="shared" si="62"/>
        <v>186.06</v>
      </c>
      <c r="S806" s="15">
        <v>0</v>
      </c>
      <c r="T806" s="15">
        <v>0</v>
      </c>
      <c r="U806" s="17">
        <f t="shared" si="63"/>
        <v>186.06</v>
      </c>
      <c r="V806" s="12" t="s">
        <v>55</v>
      </c>
      <c r="W806" s="12">
        <v>96</v>
      </c>
    </row>
    <row r="807" spans="4:23" s="12" customFormat="1" ht="30.75" customHeight="1" thickTop="1" thickBot="1" x14ac:dyDescent="0.35">
      <c r="D807" s="10"/>
      <c r="G807" s="13">
        <f t="shared" si="64"/>
        <v>806</v>
      </c>
      <c r="H807" s="18">
        <v>45895</v>
      </c>
      <c r="I807" s="15" t="s">
        <v>39</v>
      </c>
      <c r="J807" s="15">
        <v>9455</v>
      </c>
      <c r="K807" s="15">
        <v>31</v>
      </c>
      <c r="L807" s="15">
        <v>8887.7000000000007</v>
      </c>
      <c r="M807" s="16">
        <f t="shared" si="60"/>
        <v>286.70000000000005</v>
      </c>
      <c r="N807" s="15">
        <v>0</v>
      </c>
      <c r="O807" s="16">
        <f t="shared" si="61"/>
        <v>9455</v>
      </c>
      <c r="P807" s="15" t="s">
        <v>26</v>
      </c>
      <c r="Q807" s="15">
        <v>0.02</v>
      </c>
      <c r="R807" s="16">
        <f t="shared" si="62"/>
        <v>189.1</v>
      </c>
      <c r="S807" s="15">
        <v>0</v>
      </c>
      <c r="T807" s="15">
        <v>0</v>
      </c>
      <c r="U807" s="17">
        <f t="shared" si="63"/>
        <v>189.1</v>
      </c>
      <c r="V807" s="12" t="s">
        <v>55</v>
      </c>
      <c r="W807" s="12">
        <v>96</v>
      </c>
    </row>
    <row r="808" spans="4:23" s="12" customFormat="1" ht="30.75" customHeight="1" thickTop="1" thickBot="1" x14ac:dyDescent="0.35">
      <c r="D808" s="10"/>
      <c r="G808" s="13">
        <f t="shared" si="64"/>
        <v>807</v>
      </c>
      <c r="H808" s="18">
        <v>45895</v>
      </c>
      <c r="I808" s="15" t="s">
        <v>41</v>
      </c>
      <c r="J808" s="15">
        <v>73979.399999999994</v>
      </c>
      <c r="K808" s="15">
        <v>550</v>
      </c>
      <c r="L808" s="15">
        <v>60700.1</v>
      </c>
      <c r="M808" s="16">
        <f t="shared" si="60"/>
        <v>110.36381818181817</v>
      </c>
      <c r="N808" s="15">
        <v>0</v>
      </c>
      <c r="O808" s="16">
        <f t="shared" si="61"/>
        <v>73979.399999999994</v>
      </c>
      <c r="P808" s="15" t="s">
        <v>26</v>
      </c>
      <c r="Q808" s="15">
        <v>0.02</v>
      </c>
      <c r="R808" s="16">
        <f t="shared" si="62"/>
        <v>1479.588</v>
      </c>
      <c r="S808" s="15">
        <v>0</v>
      </c>
      <c r="T808" s="15">
        <v>0</v>
      </c>
      <c r="U808" s="17">
        <f t="shared" si="63"/>
        <v>1479.588</v>
      </c>
      <c r="V808" s="12" t="s">
        <v>55</v>
      </c>
      <c r="W808" s="12">
        <v>96</v>
      </c>
    </row>
    <row r="809" spans="4:23" s="12" customFormat="1" ht="30.75" customHeight="1" thickTop="1" thickBot="1" x14ac:dyDescent="0.35">
      <c r="D809" s="10"/>
      <c r="G809" s="13">
        <f t="shared" si="64"/>
        <v>808</v>
      </c>
      <c r="H809" s="18">
        <v>45899</v>
      </c>
      <c r="I809" s="15" t="s">
        <v>30</v>
      </c>
      <c r="J809" s="15">
        <v>76812.5</v>
      </c>
      <c r="K809" s="15">
        <v>250</v>
      </c>
      <c r="L809" s="15">
        <v>49160</v>
      </c>
      <c r="M809" s="16">
        <f t="shared" si="60"/>
        <v>196.64</v>
      </c>
      <c r="N809" s="15">
        <v>0</v>
      </c>
      <c r="O809" s="16">
        <f t="shared" si="61"/>
        <v>76812.5</v>
      </c>
      <c r="P809" s="15" t="s">
        <v>18</v>
      </c>
      <c r="Q809" s="15">
        <v>0.06</v>
      </c>
      <c r="R809" s="16">
        <f t="shared" si="62"/>
        <v>4608.75</v>
      </c>
      <c r="S809" s="15">
        <v>0</v>
      </c>
      <c r="T809" s="15">
        <v>0</v>
      </c>
      <c r="U809" s="17">
        <f t="shared" si="63"/>
        <v>4608.75</v>
      </c>
      <c r="V809" s="12" t="s">
        <v>55</v>
      </c>
      <c r="W809" s="12">
        <v>97</v>
      </c>
    </row>
    <row r="810" spans="4:23" s="12" customFormat="1" ht="30.75" customHeight="1" thickTop="1" thickBot="1" x14ac:dyDescent="0.35">
      <c r="D810" s="10"/>
      <c r="G810" s="13">
        <f t="shared" si="64"/>
        <v>809</v>
      </c>
      <c r="H810" s="18">
        <v>45899</v>
      </c>
      <c r="I810" s="15" t="s">
        <v>17</v>
      </c>
      <c r="J810" s="15">
        <v>122900</v>
      </c>
      <c r="K810" s="15">
        <v>400</v>
      </c>
      <c r="L810" s="15">
        <v>78656</v>
      </c>
      <c r="M810" s="16">
        <f t="shared" si="60"/>
        <v>196.64</v>
      </c>
      <c r="N810" s="15">
        <v>0</v>
      </c>
      <c r="O810" s="16">
        <f t="shared" si="61"/>
        <v>122900</v>
      </c>
      <c r="P810" s="15" t="s">
        <v>18</v>
      </c>
      <c r="Q810" s="15">
        <v>0.06</v>
      </c>
      <c r="R810" s="16">
        <f t="shared" si="62"/>
        <v>7374</v>
      </c>
      <c r="S810" s="15">
        <v>0</v>
      </c>
      <c r="T810" s="15">
        <v>0</v>
      </c>
      <c r="U810" s="17">
        <f t="shared" si="63"/>
        <v>7374</v>
      </c>
      <c r="V810" s="12" t="s">
        <v>55</v>
      </c>
      <c r="W810" s="12">
        <v>97</v>
      </c>
    </row>
    <row r="811" spans="4:23" s="12" customFormat="1" ht="30.75" customHeight="1" thickTop="1" thickBot="1" x14ac:dyDescent="0.35">
      <c r="D811" s="10"/>
      <c r="G811" s="13">
        <f t="shared" si="64"/>
        <v>810</v>
      </c>
      <c r="H811" s="18">
        <v>45899</v>
      </c>
      <c r="I811" s="36" t="s">
        <v>20</v>
      </c>
      <c r="J811" s="15">
        <v>624</v>
      </c>
      <c r="K811" s="15">
        <v>2</v>
      </c>
      <c r="L811" s="15">
        <v>586.55999999999995</v>
      </c>
      <c r="M811" s="16">
        <f t="shared" si="60"/>
        <v>293.27999999999997</v>
      </c>
      <c r="N811" s="15">
        <v>0</v>
      </c>
      <c r="O811" s="16">
        <f t="shared" si="61"/>
        <v>624</v>
      </c>
      <c r="P811" s="15" t="s">
        <v>18</v>
      </c>
      <c r="Q811" s="15">
        <v>0.06</v>
      </c>
      <c r="R811" s="16">
        <f t="shared" si="62"/>
        <v>37.44</v>
      </c>
      <c r="S811" s="15">
        <v>0</v>
      </c>
      <c r="T811" s="15">
        <v>0</v>
      </c>
      <c r="U811" s="17">
        <f t="shared" si="63"/>
        <v>37.44</v>
      </c>
      <c r="V811" s="12" t="s">
        <v>55</v>
      </c>
      <c r="W811" s="12">
        <v>97</v>
      </c>
    </row>
    <row r="812" spans="4:23" s="12" customFormat="1" ht="30.75" customHeight="1" thickTop="1" thickBot="1" x14ac:dyDescent="0.35">
      <c r="D812" s="10"/>
      <c r="G812" s="13">
        <f t="shared" si="64"/>
        <v>811</v>
      </c>
      <c r="H812" s="18">
        <v>45899</v>
      </c>
      <c r="I812" s="15" t="s">
        <v>21</v>
      </c>
      <c r="J812" s="15">
        <v>2472</v>
      </c>
      <c r="K812" s="15">
        <v>10</v>
      </c>
      <c r="L812" s="15">
        <v>2323.6799999999998</v>
      </c>
      <c r="M812" s="16">
        <f t="shared" si="60"/>
        <v>232.36799999999999</v>
      </c>
      <c r="N812" s="15">
        <v>0</v>
      </c>
      <c r="O812" s="16">
        <f t="shared" si="61"/>
        <v>2472</v>
      </c>
      <c r="P812" s="15" t="s">
        <v>18</v>
      </c>
      <c r="Q812" s="15">
        <v>0.06</v>
      </c>
      <c r="R812" s="16">
        <f t="shared" si="62"/>
        <v>148.32</v>
      </c>
      <c r="S812" s="15">
        <v>0</v>
      </c>
      <c r="T812" s="15">
        <v>0</v>
      </c>
      <c r="U812" s="17">
        <f t="shared" si="63"/>
        <v>148.32</v>
      </c>
      <c r="V812" s="12" t="s">
        <v>55</v>
      </c>
      <c r="W812" s="12">
        <v>97</v>
      </c>
    </row>
    <row r="813" spans="4:23" s="12" customFormat="1" ht="30.75" customHeight="1" thickTop="1" thickBot="1" x14ac:dyDescent="0.35">
      <c r="D813" s="10"/>
      <c r="G813" s="13">
        <f t="shared" si="64"/>
        <v>812</v>
      </c>
      <c r="H813" s="18">
        <v>45899</v>
      </c>
      <c r="I813" s="15" t="s">
        <v>22</v>
      </c>
      <c r="J813" s="15">
        <v>1346.25</v>
      </c>
      <c r="K813" s="15">
        <v>5</v>
      </c>
      <c r="L813" s="15">
        <v>1265.48</v>
      </c>
      <c r="M813" s="16">
        <f t="shared" si="60"/>
        <v>253.096</v>
      </c>
      <c r="N813" s="15">
        <v>0</v>
      </c>
      <c r="O813" s="16">
        <f t="shared" si="61"/>
        <v>1346.25</v>
      </c>
      <c r="P813" s="15" t="s">
        <v>18</v>
      </c>
      <c r="Q813" s="15">
        <v>0.06</v>
      </c>
      <c r="R813" s="16">
        <f t="shared" si="62"/>
        <v>80.774999999999991</v>
      </c>
      <c r="S813" s="15">
        <v>0</v>
      </c>
      <c r="T813" s="15">
        <v>0</v>
      </c>
      <c r="U813" s="17">
        <f t="shared" si="63"/>
        <v>80.774999999999991</v>
      </c>
      <c r="V813" s="12" t="s">
        <v>55</v>
      </c>
      <c r="W813" s="12">
        <v>97</v>
      </c>
    </row>
    <row r="814" spans="4:23" s="12" customFormat="1" ht="30.75" customHeight="1" thickTop="1" thickBot="1" x14ac:dyDescent="0.35">
      <c r="D814" s="10"/>
      <c r="G814" s="13">
        <f t="shared" si="64"/>
        <v>813</v>
      </c>
      <c r="H814" s="18">
        <v>45899</v>
      </c>
      <c r="I814" s="15" t="s">
        <v>23</v>
      </c>
      <c r="J814" s="15">
        <v>44160</v>
      </c>
      <c r="K814" s="15">
        <v>230</v>
      </c>
      <c r="L814" s="15">
        <v>41510.400000000001</v>
      </c>
      <c r="M814" s="16">
        <f t="shared" si="60"/>
        <v>180.48000000000002</v>
      </c>
      <c r="N814" s="15">
        <v>0</v>
      </c>
      <c r="O814" s="16">
        <f t="shared" si="61"/>
        <v>44160</v>
      </c>
      <c r="P814" s="15" t="s">
        <v>18</v>
      </c>
      <c r="Q814" s="15">
        <v>0.06</v>
      </c>
      <c r="R814" s="16">
        <f t="shared" si="62"/>
        <v>2649.6</v>
      </c>
      <c r="S814" s="15">
        <v>0</v>
      </c>
      <c r="T814" s="15">
        <v>0</v>
      </c>
      <c r="U814" s="17">
        <f t="shared" si="63"/>
        <v>2649.6</v>
      </c>
      <c r="V814" s="12" t="s">
        <v>55</v>
      </c>
      <c r="W814" s="12">
        <v>97</v>
      </c>
    </row>
    <row r="815" spans="4:23" s="12" customFormat="1" ht="30.75" customHeight="1" thickTop="1" thickBot="1" x14ac:dyDescent="0.35">
      <c r="D815" s="10"/>
      <c r="G815" s="13">
        <f t="shared" si="64"/>
        <v>814</v>
      </c>
      <c r="H815" s="18">
        <v>45899</v>
      </c>
      <c r="I815" s="15" t="s">
        <v>24</v>
      </c>
      <c r="J815" s="15">
        <v>6500.8</v>
      </c>
      <c r="K815" s="15">
        <v>20</v>
      </c>
      <c r="L815" s="15">
        <v>6110.75</v>
      </c>
      <c r="M815" s="16">
        <f t="shared" si="60"/>
        <v>305.53750000000002</v>
      </c>
      <c r="N815" s="15">
        <v>0</v>
      </c>
      <c r="O815" s="16">
        <f t="shared" si="61"/>
        <v>6500.8</v>
      </c>
      <c r="P815" s="15" t="s">
        <v>18</v>
      </c>
      <c r="Q815" s="15">
        <v>0.06</v>
      </c>
      <c r="R815" s="16">
        <f t="shared" si="62"/>
        <v>390.048</v>
      </c>
      <c r="S815" s="15">
        <v>0</v>
      </c>
      <c r="T815" s="15">
        <v>0</v>
      </c>
      <c r="U815" s="17">
        <f t="shared" si="63"/>
        <v>390.048</v>
      </c>
      <c r="V815" s="12" t="s">
        <v>55</v>
      </c>
      <c r="W815" s="12">
        <v>97</v>
      </c>
    </row>
    <row r="816" spans="4:23" s="12" customFormat="1" ht="30.75" customHeight="1" thickTop="1" thickBot="1" x14ac:dyDescent="0.35">
      <c r="D816" s="10"/>
      <c r="G816" s="13">
        <f t="shared" si="64"/>
        <v>815</v>
      </c>
      <c r="H816" s="18">
        <v>45899</v>
      </c>
      <c r="I816" s="15" t="s">
        <v>31</v>
      </c>
      <c r="J816" s="15">
        <v>7680</v>
      </c>
      <c r="K816" s="15">
        <v>40</v>
      </c>
      <c r="L816" s="15">
        <v>7219.2</v>
      </c>
      <c r="M816" s="16">
        <f t="shared" si="60"/>
        <v>180.48</v>
      </c>
      <c r="N816" s="15">
        <v>0</v>
      </c>
      <c r="O816" s="16">
        <f t="shared" si="61"/>
        <v>7680</v>
      </c>
      <c r="P816" s="15" t="s">
        <v>18</v>
      </c>
      <c r="Q816" s="15">
        <v>0.06</v>
      </c>
      <c r="R816" s="16">
        <f t="shared" si="62"/>
        <v>460.79999999999995</v>
      </c>
      <c r="S816" s="15">
        <v>0</v>
      </c>
      <c r="T816" s="15">
        <v>0</v>
      </c>
      <c r="U816" s="17">
        <f t="shared" si="63"/>
        <v>460.79999999999995</v>
      </c>
      <c r="V816" s="12" t="s">
        <v>55</v>
      </c>
      <c r="W816" s="12">
        <v>97</v>
      </c>
    </row>
    <row r="817" spans="4:23" s="12" customFormat="1" ht="30.75" customHeight="1" thickTop="1" thickBot="1" x14ac:dyDescent="0.35">
      <c r="D817" s="10"/>
      <c r="G817" s="13">
        <f t="shared" si="64"/>
        <v>816</v>
      </c>
      <c r="H817" s="18">
        <v>45899</v>
      </c>
      <c r="I817" s="15" t="s">
        <v>36</v>
      </c>
      <c r="J817" s="15">
        <v>650.08000000000004</v>
      </c>
      <c r="K817" s="15">
        <v>2</v>
      </c>
      <c r="L817" s="15">
        <v>611.08000000000004</v>
      </c>
      <c r="M817" s="16">
        <f t="shared" si="60"/>
        <v>305.54000000000002</v>
      </c>
      <c r="N817" s="15">
        <v>0</v>
      </c>
      <c r="O817" s="16">
        <f t="shared" si="61"/>
        <v>650.08000000000004</v>
      </c>
      <c r="P817" s="15" t="s">
        <v>18</v>
      </c>
      <c r="Q817" s="15">
        <v>0.06</v>
      </c>
      <c r="R817" s="16">
        <f t="shared" si="62"/>
        <v>39.004800000000003</v>
      </c>
      <c r="S817" s="15">
        <v>0</v>
      </c>
      <c r="T817" s="15">
        <v>0</v>
      </c>
      <c r="U817" s="17">
        <f t="shared" si="63"/>
        <v>39.004800000000003</v>
      </c>
      <c r="V817" s="12" t="s">
        <v>55</v>
      </c>
      <c r="W817" s="12">
        <v>97</v>
      </c>
    </row>
    <row r="818" spans="4:23" s="12" customFormat="1" ht="30.75" customHeight="1" thickTop="1" thickBot="1" x14ac:dyDescent="0.35">
      <c r="D818" s="10"/>
      <c r="G818" s="13">
        <f t="shared" si="64"/>
        <v>817</v>
      </c>
      <c r="H818" s="18">
        <v>45900</v>
      </c>
      <c r="I818" s="15" t="s">
        <v>45</v>
      </c>
      <c r="J818" s="15">
        <v>35640</v>
      </c>
      <c r="K818" s="15">
        <v>60</v>
      </c>
      <c r="L818" s="15">
        <v>30792.959999999999</v>
      </c>
      <c r="M818" s="16">
        <f t="shared" si="60"/>
        <v>513.21600000000001</v>
      </c>
      <c r="N818" s="15">
        <v>0</v>
      </c>
      <c r="O818" s="16">
        <f t="shared" si="61"/>
        <v>35640</v>
      </c>
      <c r="P818" s="15" t="s">
        <v>33</v>
      </c>
      <c r="Q818" s="15">
        <v>0.01</v>
      </c>
      <c r="R818" s="16">
        <f t="shared" si="62"/>
        <v>356.40000000000003</v>
      </c>
      <c r="S818" s="15">
        <v>0</v>
      </c>
      <c r="T818" s="15">
        <v>0</v>
      </c>
      <c r="U818" s="17">
        <f t="shared" si="63"/>
        <v>356.40000000000003</v>
      </c>
      <c r="V818" s="12" t="s">
        <v>55</v>
      </c>
      <c r="W818" s="12">
        <v>98</v>
      </c>
    </row>
    <row r="819" spans="4:23" s="12" customFormat="1" ht="30.75" customHeight="1" thickTop="1" thickBot="1" x14ac:dyDescent="0.35">
      <c r="D819" s="10"/>
      <c r="G819" s="13">
        <f t="shared" si="64"/>
        <v>818</v>
      </c>
      <c r="H819" s="18">
        <v>45900</v>
      </c>
      <c r="I819" s="15" t="s">
        <v>51</v>
      </c>
      <c r="J819" s="15">
        <v>5600</v>
      </c>
      <c r="K819" s="15">
        <v>20</v>
      </c>
      <c r="L819" s="15">
        <v>5320</v>
      </c>
      <c r="M819" s="16">
        <f t="shared" si="60"/>
        <v>266</v>
      </c>
      <c r="N819" s="15">
        <v>0</v>
      </c>
      <c r="O819" s="16">
        <f t="shared" si="61"/>
        <v>5600</v>
      </c>
      <c r="P819" s="15" t="s">
        <v>33</v>
      </c>
      <c r="Q819" s="15">
        <v>0.01</v>
      </c>
      <c r="R819" s="16">
        <f t="shared" si="62"/>
        <v>56</v>
      </c>
      <c r="S819" s="15">
        <v>0</v>
      </c>
      <c r="T819" s="15">
        <v>0</v>
      </c>
      <c r="U819" s="17">
        <f t="shared" si="63"/>
        <v>56</v>
      </c>
      <c r="V819" s="12" t="s">
        <v>55</v>
      </c>
      <c r="W819" s="12">
        <v>98</v>
      </c>
    </row>
    <row r="820" spans="4:23" s="12" customFormat="1" ht="30.75" customHeight="1" thickTop="1" thickBot="1" x14ac:dyDescent="0.35">
      <c r="D820" s="10"/>
      <c r="G820" s="13">
        <f t="shared" si="64"/>
        <v>819</v>
      </c>
      <c r="H820" s="18">
        <v>45900</v>
      </c>
      <c r="I820" s="15" t="s">
        <v>30</v>
      </c>
      <c r="J820" s="15">
        <v>76812.5</v>
      </c>
      <c r="K820" s="15">
        <v>250</v>
      </c>
      <c r="L820" s="15">
        <v>49160</v>
      </c>
      <c r="M820" s="16">
        <f t="shared" si="60"/>
        <v>196.64</v>
      </c>
      <c r="N820" s="15">
        <v>0</v>
      </c>
      <c r="O820" s="16">
        <f t="shared" si="61"/>
        <v>76812.5</v>
      </c>
      <c r="P820" s="15" t="s">
        <v>18</v>
      </c>
      <c r="Q820" s="15">
        <v>0.06</v>
      </c>
      <c r="R820" s="16">
        <f t="shared" si="62"/>
        <v>4608.75</v>
      </c>
      <c r="S820" s="15">
        <v>0</v>
      </c>
      <c r="T820" s="15">
        <v>0</v>
      </c>
      <c r="U820" s="17">
        <f t="shared" si="63"/>
        <v>4608.75</v>
      </c>
      <c r="V820" s="12" t="s">
        <v>55</v>
      </c>
      <c r="W820" s="12">
        <v>98</v>
      </c>
    </row>
    <row r="821" spans="4:23" s="12" customFormat="1" ht="30.75" customHeight="1" thickTop="1" thickBot="1" x14ac:dyDescent="0.35">
      <c r="D821" s="10"/>
      <c r="G821" s="13">
        <f t="shared" si="64"/>
        <v>820</v>
      </c>
      <c r="H821" s="18">
        <v>45900</v>
      </c>
      <c r="I821" s="15" t="s">
        <v>17</v>
      </c>
      <c r="J821" s="15">
        <v>138262.5</v>
      </c>
      <c r="K821" s="15">
        <v>450</v>
      </c>
      <c r="L821" s="15">
        <v>88488</v>
      </c>
      <c r="M821" s="16">
        <f t="shared" si="60"/>
        <v>196.64</v>
      </c>
      <c r="N821" s="15">
        <v>0</v>
      </c>
      <c r="O821" s="16">
        <f t="shared" si="61"/>
        <v>138262.5</v>
      </c>
      <c r="P821" s="15" t="s">
        <v>18</v>
      </c>
      <c r="Q821" s="15">
        <v>0.06</v>
      </c>
      <c r="R821" s="16">
        <f t="shared" si="62"/>
        <v>8295.75</v>
      </c>
      <c r="S821" s="15">
        <v>0</v>
      </c>
      <c r="T821" s="15">
        <v>0</v>
      </c>
      <c r="U821" s="17">
        <f t="shared" si="63"/>
        <v>8295.75</v>
      </c>
      <c r="V821" s="12" t="s">
        <v>55</v>
      </c>
      <c r="W821" s="12">
        <v>98</v>
      </c>
    </row>
    <row r="822" spans="4:23" s="12" customFormat="1" ht="30.75" customHeight="1" thickTop="1" thickBot="1" x14ac:dyDescent="0.35">
      <c r="D822" s="10"/>
      <c r="G822" s="13">
        <f t="shared" si="64"/>
        <v>821</v>
      </c>
      <c r="H822" s="18">
        <v>45900</v>
      </c>
      <c r="I822" s="36" t="s">
        <v>20</v>
      </c>
      <c r="J822" s="15">
        <v>936</v>
      </c>
      <c r="K822" s="15">
        <v>3</v>
      </c>
      <c r="L822" s="15">
        <v>879.84</v>
      </c>
      <c r="M822" s="16">
        <f t="shared" si="60"/>
        <v>293.28000000000003</v>
      </c>
      <c r="N822" s="15">
        <v>0</v>
      </c>
      <c r="O822" s="16">
        <f t="shared" si="61"/>
        <v>936</v>
      </c>
      <c r="P822" s="15" t="s">
        <v>18</v>
      </c>
      <c r="Q822" s="15">
        <v>0.06</v>
      </c>
      <c r="R822" s="16">
        <f t="shared" si="62"/>
        <v>56.16</v>
      </c>
      <c r="S822" s="15">
        <v>0</v>
      </c>
      <c r="T822" s="15">
        <v>0</v>
      </c>
      <c r="U822" s="17">
        <f t="shared" si="63"/>
        <v>56.16</v>
      </c>
      <c r="V822" s="12" t="s">
        <v>55</v>
      </c>
      <c r="W822" s="12">
        <v>98</v>
      </c>
    </row>
    <row r="823" spans="4:23" s="12" customFormat="1" ht="30.75" customHeight="1" thickTop="1" thickBot="1" x14ac:dyDescent="0.35">
      <c r="D823" s="10"/>
      <c r="G823" s="13">
        <f t="shared" si="64"/>
        <v>822</v>
      </c>
      <c r="H823" s="18">
        <v>45900</v>
      </c>
      <c r="I823" s="15" t="s">
        <v>21</v>
      </c>
      <c r="J823" s="15">
        <v>3708</v>
      </c>
      <c r="K823" s="15">
        <v>15</v>
      </c>
      <c r="L823" s="15">
        <v>3485.52</v>
      </c>
      <c r="M823" s="16">
        <f t="shared" si="60"/>
        <v>232.36799999999999</v>
      </c>
      <c r="N823" s="15">
        <v>0</v>
      </c>
      <c r="O823" s="16">
        <f t="shared" si="61"/>
        <v>3708</v>
      </c>
      <c r="P823" s="15" t="s">
        <v>18</v>
      </c>
      <c r="Q823" s="15">
        <v>0.06</v>
      </c>
      <c r="R823" s="16">
        <f t="shared" si="62"/>
        <v>222.48</v>
      </c>
      <c r="S823" s="15">
        <v>0</v>
      </c>
      <c r="T823" s="15">
        <v>0</v>
      </c>
      <c r="U823" s="17">
        <f t="shared" si="63"/>
        <v>222.48</v>
      </c>
      <c r="V823" s="12" t="s">
        <v>55</v>
      </c>
      <c r="W823" s="12">
        <v>98</v>
      </c>
    </row>
    <row r="824" spans="4:23" s="12" customFormat="1" ht="30.75" customHeight="1" thickTop="1" thickBot="1" x14ac:dyDescent="0.35">
      <c r="D824" s="10"/>
      <c r="G824" s="13">
        <f t="shared" si="64"/>
        <v>823</v>
      </c>
      <c r="H824" s="18">
        <v>45900</v>
      </c>
      <c r="I824" s="15" t="s">
        <v>22</v>
      </c>
      <c r="J824" s="15">
        <v>1346.25</v>
      </c>
      <c r="K824" s="15">
        <v>5</v>
      </c>
      <c r="L824" s="15">
        <v>1265.48</v>
      </c>
      <c r="M824" s="16">
        <f t="shared" si="60"/>
        <v>253.096</v>
      </c>
      <c r="N824" s="15">
        <v>0</v>
      </c>
      <c r="O824" s="16">
        <f t="shared" si="61"/>
        <v>1346.25</v>
      </c>
      <c r="P824" s="15" t="s">
        <v>18</v>
      </c>
      <c r="Q824" s="15">
        <v>0.06</v>
      </c>
      <c r="R824" s="16">
        <f t="shared" si="62"/>
        <v>80.774999999999991</v>
      </c>
      <c r="S824" s="15">
        <v>0</v>
      </c>
      <c r="T824" s="15">
        <v>0</v>
      </c>
      <c r="U824" s="17">
        <f t="shared" si="63"/>
        <v>80.774999999999991</v>
      </c>
      <c r="V824" s="12" t="s">
        <v>55</v>
      </c>
      <c r="W824" s="12">
        <v>98</v>
      </c>
    </row>
    <row r="825" spans="4:23" s="12" customFormat="1" ht="30.75" customHeight="1" thickTop="1" thickBot="1" x14ac:dyDescent="0.35">
      <c r="D825" s="10"/>
      <c r="G825" s="13">
        <f t="shared" si="64"/>
        <v>824</v>
      </c>
      <c r="H825" s="18">
        <v>45900</v>
      </c>
      <c r="I825" s="15" t="s">
        <v>23</v>
      </c>
      <c r="J825" s="15">
        <v>23040</v>
      </c>
      <c r="K825" s="15">
        <v>120</v>
      </c>
      <c r="L825" s="15">
        <v>21657.599999999999</v>
      </c>
      <c r="M825" s="16">
        <f t="shared" si="60"/>
        <v>180.48</v>
      </c>
      <c r="N825" s="15">
        <v>0</v>
      </c>
      <c r="O825" s="16">
        <f t="shared" si="61"/>
        <v>23040</v>
      </c>
      <c r="P825" s="15" t="s">
        <v>18</v>
      </c>
      <c r="Q825" s="15">
        <v>0.06</v>
      </c>
      <c r="R825" s="16">
        <f t="shared" si="62"/>
        <v>1382.3999999999999</v>
      </c>
      <c r="S825" s="15">
        <v>0</v>
      </c>
      <c r="T825" s="15">
        <v>0</v>
      </c>
      <c r="U825" s="17">
        <f t="shared" si="63"/>
        <v>1382.3999999999999</v>
      </c>
      <c r="V825" s="12" t="s">
        <v>55</v>
      </c>
      <c r="W825" s="12">
        <v>98</v>
      </c>
    </row>
    <row r="826" spans="4:23" s="12" customFormat="1" ht="30.75" customHeight="1" thickTop="1" thickBot="1" x14ac:dyDescent="0.35">
      <c r="D826" s="10"/>
      <c r="G826" s="13">
        <f t="shared" si="64"/>
        <v>825</v>
      </c>
      <c r="H826" s="18">
        <v>45900</v>
      </c>
      <c r="I826" s="15" t="s">
        <v>24</v>
      </c>
      <c r="J826" s="15">
        <v>6500.8</v>
      </c>
      <c r="K826" s="15">
        <v>20</v>
      </c>
      <c r="L826" s="15">
        <v>6110.75</v>
      </c>
      <c r="M826" s="16">
        <f t="shared" si="60"/>
        <v>305.53750000000002</v>
      </c>
      <c r="N826" s="15">
        <v>0</v>
      </c>
      <c r="O826" s="16">
        <f t="shared" si="61"/>
        <v>6500.8</v>
      </c>
      <c r="P826" s="15" t="s">
        <v>18</v>
      </c>
      <c r="Q826" s="15">
        <v>0.06</v>
      </c>
      <c r="R826" s="16">
        <f t="shared" si="62"/>
        <v>390.048</v>
      </c>
      <c r="S826" s="15">
        <v>0</v>
      </c>
      <c r="T826" s="15">
        <v>0</v>
      </c>
      <c r="U826" s="17">
        <f t="shared" si="63"/>
        <v>390.048</v>
      </c>
      <c r="V826" s="12" t="s">
        <v>55</v>
      </c>
      <c r="W826" s="12">
        <v>98</v>
      </c>
    </row>
    <row r="827" spans="4:23" s="12" customFormat="1" ht="30.75" customHeight="1" thickTop="1" thickBot="1" x14ac:dyDescent="0.35">
      <c r="D827" s="10"/>
      <c r="G827" s="13">
        <f t="shared" si="64"/>
        <v>826</v>
      </c>
      <c r="H827" s="18">
        <v>45900</v>
      </c>
      <c r="I827" s="15" t="s">
        <v>31</v>
      </c>
      <c r="J827" s="15">
        <v>5760</v>
      </c>
      <c r="K827" s="15">
        <v>30</v>
      </c>
      <c r="L827" s="15">
        <v>5414.4</v>
      </c>
      <c r="M827" s="16">
        <f t="shared" si="60"/>
        <v>180.48</v>
      </c>
      <c r="N827" s="15">
        <v>0</v>
      </c>
      <c r="O827" s="16">
        <f t="shared" si="61"/>
        <v>5760</v>
      </c>
      <c r="P827" s="15" t="s">
        <v>18</v>
      </c>
      <c r="Q827" s="15">
        <v>0.06</v>
      </c>
      <c r="R827" s="16">
        <f t="shared" si="62"/>
        <v>345.59999999999997</v>
      </c>
      <c r="S827" s="15">
        <v>0</v>
      </c>
      <c r="T827" s="15">
        <v>0</v>
      </c>
      <c r="U827" s="17">
        <f t="shared" si="63"/>
        <v>345.59999999999997</v>
      </c>
      <c r="V827" s="12" t="s">
        <v>55</v>
      </c>
      <c r="W827" s="12">
        <v>98</v>
      </c>
    </row>
    <row r="828" spans="4:23" s="12" customFormat="1" ht="30.75" customHeight="1" thickTop="1" thickBot="1" x14ac:dyDescent="0.35">
      <c r="D828" s="10"/>
      <c r="G828" s="13">
        <f t="shared" si="64"/>
        <v>827</v>
      </c>
      <c r="H828" s="18">
        <v>45900</v>
      </c>
      <c r="I828" s="15" t="s">
        <v>37</v>
      </c>
      <c r="J828" s="15">
        <v>18380.25</v>
      </c>
      <c r="K828" s="15">
        <v>35</v>
      </c>
      <c r="L828" s="15">
        <v>17920.740000000002</v>
      </c>
      <c r="M828" s="16">
        <f t="shared" si="60"/>
        <v>512.02114285714288</v>
      </c>
      <c r="N828" s="15">
        <v>0</v>
      </c>
      <c r="O828" s="16">
        <f t="shared" si="61"/>
        <v>18380.25</v>
      </c>
      <c r="P828" s="15" t="s">
        <v>29</v>
      </c>
      <c r="Q828" s="15">
        <v>0.02</v>
      </c>
      <c r="R828" s="16">
        <f t="shared" si="62"/>
        <v>367.60500000000002</v>
      </c>
      <c r="S828" s="15">
        <v>0</v>
      </c>
      <c r="T828" s="15">
        <v>0</v>
      </c>
      <c r="U828" s="17">
        <f t="shared" si="63"/>
        <v>367.60500000000002</v>
      </c>
      <c r="V828" s="12" t="s">
        <v>55</v>
      </c>
      <c r="W828" s="12">
        <v>98</v>
      </c>
    </row>
    <row r="829" spans="4:23" s="12" customFormat="1" ht="30.75" customHeight="1" thickTop="1" thickBot="1" x14ac:dyDescent="0.35">
      <c r="D829" s="10"/>
      <c r="G829" s="13">
        <f t="shared" si="64"/>
        <v>828</v>
      </c>
      <c r="H829" s="18">
        <v>45900</v>
      </c>
      <c r="I829" s="15" t="s">
        <v>28</v>
      </c>
      <c r="J829" s="15">
        <v>7877.25</v>
      </c>
      <c r="K829" s="15">
        <v>15</v>
      </c>
      <c r="L829" s="15">
        <v>7680.32</v>
      </c>
      <c r="M829" s="16">
        <f t="shared" si="60"/>
        <v>512.02133333333336</v>
      </c>
      <c r="N829" s="15">
        <v>0</v>
      </c>
      <c r="O829" s="16">
        <f t="shared" si="61"/>
        <v>7877.25</v>
      </c>
      <c r="P829" s="15" t="s">
        <v>29</v>
      </c>
      <c r="Q829" s="15">
        <v>0.02</v>
      </c>
      <c r="R829" s="16">
        <f t="shared" si="62"/>
        <v>157.54500000000002</v>
      </c>
      <c r="S829" s="15">
        <v>0</v>
      </c>
      <c r="T829" s="15">
        <v>0</v>
      </c>
      <c r="U829" s="17">
        <f t="shared" si="63"/>
        <v>157.54500000000002</v>
      </c>
      <c r="V829" s="12" t="s">
        <v>55</v>
      </c>
      <c r="W829" s="12">
        <v>98</v>
      </c>
    </row>
    <row r="830" spans="4:23" s="12" customFormat="1" ht="30.75" customHeight="1" thickTop="1" thickBot="1" x14ac:dyDescent="0.35">
      <c r="D830" s="10"/>
      <c r="G830" s="13">
        <f t="shared" si="64"/>
        <v>829</v>
      </c>
      <c r="H830" s="18">
        <v>45902</v>
      </c>
      <c r="I830" s="15" t="s">
        <v>51</v>
      </c>
      <c r="J830" s="15">
        <v>1400</v>
      </c>
      <c r="K830" s="15">
        <v>5</v>
      </c>
      <c r="L830" s="15">
        <v>1330</v>
      </c>
      <c r="M830" s="16">
        <f t="shared" si="60"/>
        <v>266</v>
      </c>
      <c r="N830" s="15">
        <v>0</v>
      </c>
      <c r="O830" s="16">
        <f t="shared" si="61"/>
        <v>1400</v>
      </c>
      <c r="P830" s="15" t="s">
        <v>33</v>
      </c>
      <c r="Q830" s="15">
        <v>0.01</v>
      </c>
      <c r="R830" s="16">
        <f t="shared" si="62"/>
        <v>14</v>
      </c>
      <c r="S830" s="15">
        <v>0</v>
      </c>
      <c r="T830" s="15">
        <v>0</v>
      </c>
      <c r="U830" s="17">
        <f t="shared" si="63"/>
        <v>14</v>
      </c>
      <c r="V830" s="12" t="s">
        <v>55</v>
      </c>
      <c r="W830" s="12">
        <v>99</v>
      </c>
    </row>
    <row r="831" spans="4:23" s="12" customFormat="1" ht="30.75" customHeight="1" thickTop="1" thickBot="1" x14ac:dyDescent="0.35">
      <c r="D831" s="10"/>
      <c r="G831" s="13">
        <f t="shared" si="64"/>
        <v>830</v>
      </c>
      <c r="H831" s="18">
        <v>45902</v>
      </c>
      <c r="I831" s="15" t="s">
        <v>25</v>
      </c>
      <c r="J831" s="15">
        <v>6000.5</v>
      </c>
      <c r="K831" s="15">
        <v>25</v>
      </c>
      <c r="L831" s="15">
        <v>4754.2</v>
      </c>
      <c r="M831" s="16">
        <f t="shared" si="60"/>
        <v>190.16800000000001</v>
      </c>
      <c r="N831" s="15">
        <v>0</v>
      </c>
      <c r="O831" s="16">
        <f t="shared" si="61"/>
        <v>6000.5</v>
      </c>
      <c r="P831" s="15" t="s">
        <v>26</v>
      </c>
      <c r="Q831" s="15">
        <v>0.02</v>
      </c>
      <c r="R831" s="16">
        <f t="shared" si="62"/>
        <v>120.01</v>
      </c>
      <c r="S831" s="15">
        <v>0</v>
      </c>
      <c r="T831" s="15">
        <v>0</v>
      </c>
      <c r="U831" s="17">
        <f t="shared" si="63"/>
        <v>120.01</v>
      </c>
      <c r="V831" s="12" t="s">
        <v>55</v>
      </c>
      <c r="W831" s="12">
        <v>99</v>
      </c>
    </row>
    <row r="832" spans="4:23" s="12" customFormat="1" ht="30.75" customHeight="1" thickTop="1" thickBot="1" x14ac:dyDescent="0.35">
      <c r="D832" s="10"/>
      <c r="G832" s="13">
        <f t="shared" si="64"/>
        <v>831</v>
      </c>
      <c r="H832" s="18">
        <v>45902</v>
      </c>
      <c r="I832" s="15" t="s">
        <v>30</v>
      </c>
      <c r="J832" s="15">
        <v>30725</v>
      </c>
      <c r="K832" s="15">
        <v>100</v>
      </c>
      <c r="L832" s="15">
        <v>19664</v>
      </c>
      <c r="M832" s="16">
        <f t="shared" si="60"/>
        <v>196.64</v>
      </c>
      <c r="N832" s="15">
        <v>0</v>
      </c>
      <c r="O832" s="16">
        <f t="shared" si="61"/>
        <v>30725</v>
      </c>
      <c r="P832" s="15" t="s">
        <v>18</v>
      </c>
      <c r="Q832" s="15">
        <v>0.06</v>
      </c>
      <c r="R832" s="16">
        <f t="shared" si="62"/>
        <v>1843.5</v>
      </c>
      <c r="S832" s="15">
        <v>0</v>
      </c>
      <c r="T832" s="15">
        <v>0</v>
      </c>
      <c r="U832" s="17">
        <f t="shared" si="63"/>
        <v>1843.5</v>
      </c>
      <c r="V832" s="12" t="s">
        <v>55</v>
      </c>
      <c r="W832" s="12">
        <v>99</v>
      </c>
    </row>
    <row r="833" spans="4:23" s="12" customFormat="1" ht="30.75" customHeight="1" thickTop="1" thickBot="1" x14ac:dyDescent="0.35">
      <c r="D833" s="10"/>
      <c r="G833" s="13">
        <f t="shared" si="64"/>
        <v>832</v>
      </c>
      <c r="H833" s="18">
        <v>45902</v>
      </c>
      <c r="I833" s="15" t="s">
        <v>17</v>
      </c>
      <c r="J833" s="15">
        <v>61450</v>
      </c>
      <c r="K833" s="15">
        <v>200</v>
      </c>
      <c r="L833" s="15">
        <v>39328</v>
      </c>
      <c r="M833" s="16">
        <f t="shared" si="60"/>
        <v>196.64</v>
      </c>
      <c r="N833" s="15">
        <v>0</v>
      </c>
      <c r="O833" s="16">
        <f t="shared" si="61"/>
        <v>61450</v>
      </c>
      <c r="P833" s="15" t="s">
        <v>18</v>
      </c>
      <c r="Q833" s="15">
        <v>0.06</v>
      </c>
      <c r="R833" s="16">
        <f t="shared" si="62"/>
        <v>3687</v>
      </c>
      <c r="S833" s="15">
        <v>0</v>
      </c>
      <c r="T833" s="15">
        <v>0</v>
      </c>
      <c r="U833" s="17">
        <f t="shared" si="63"/>
        <v>3687</v>
      </c>
      <c r="V833" s="12" t="s">
        <v>55</v>
      </c>
      <c r="W833" s="12">
        <v>99</v>
      </c>
    </row>
    <row r="834" spans="4:23" s="12" customFormat="1" ht="30.75" customHeight="1" thickTop="1" thickBot="1" x14ac:dyDescent="0.35">
      <c r="D834" s="10"/>
      <c r="G834" s="13">
        <f t="shared" si="64"/>
        <v>833</v>
      </c>
      <c r="H834" s="18">
        <v>45902</v>
      </c>
      <c r="I834" s="36" t="s">
        <v>20</v>
      </c>
      <c r="J834" s="15">
        <v>936</v>
      </c>
      <c r="K834" s="15">
        <v>3</v>
      </c>
      <c r="L834" s="15">
        <v>879.84</v>
      </c>
      <c r="M834" s="16">
        <f t="shared" ref="M834:M897" si="65">IFERROR(L834/K834,"")</f>
        <v>293.28000000000003</v>
      </c>
      <c r="N834" s="15">
        <v>0</v>
      </c>
      <c r="O834" s="16">
        <f t="shared" ref="O834:O897" si="66">J834-N834</f>
        <v>936</v>
      </c>
      <c r="P834" s="15" t="s">
        <v>18</v>
      </c>
      <c r="Q834" s="15">
        <v>0.06</v>
      </c>
      <c r="R834" s="16">
        <f t="shared" ref="R834:R897" si="67">J834*Q834</f>
        <v>56.16</v>
      </c>
      <c r="S834" s="15">
        <v>0</v>
      </c>
      <c r="T834" s="15">
        <v>0</v>
      </c>
      <c r="U834" s="17">
        <f t="shared" ref="U834:U897" si="68">T834+S834+R834</f>
        <v>56.16</v>
      </c>
      <c r="V834" s="12" t="s">
        <v>55</v>
      </c>
      <c r="W834" s="12">
        <v>99</v>
      </c>
    </row>
    <row r="835" spans="4:23" s="12" customFormat="1" ht="30.75" customHeight="1" thickTop="1" thickBot="1" x14ac:dyDescent="0.35">
      <c r="D835" s="10"/>
      <c r="G835" s="13">
        <f t="shared" si="64"/>
        <v>834</v>
      </c>
      <c r="H835" s="18">
        <v>45902</v>
      </c>
      <c r="I835" s="15" t="s">
        <v>21</v>
      </c>
      <c r="J835" s="15">
        <v>1236</v>
      </c>
      <c r="K835" s="15">
        <v>5</v>
      </c>
      <c r="L835" s="15">
        <v>1161.8399999999999</v>
      </c>
      <c r="M835" s="16">
        <f t="shared" si="65"/>
        <v>232.36799999999999</v>
      </c>
      <c r="N835" s="15">
        <v>0</v>
      </c>
      <c r="O835" s="16">
        <f t="shared" si="66"/>
        <v>1236</v>
      </c>
      <c r="P835" s="15" t="s">
        <v>18</v>
      </c>
      <c r="Q835" s="15">
        <v>0.06</v>
      </c>
      <c r="R835" s="16">
        <f t="shared" si="67"/>
        <v>74.16</v>
      </c>
      <c r="S835" s="15">
        <v>0</v>
      </c>
      <c r="T835" s="15">
        <v>0</v>
      </c>
      <c r="U835" s="17">
        <f t="shared" si="68"/>
        <v>74.16</v>
      </c>
      <c r="V835" s="12" t="s">
        <v>55</v>
      </c>
      <c r="W835" s="12">
        <v>99</v>
      </c>
    </row>
    <row r="836" spans="4:23" s="12" customFormat="1" ht="30.75" customHeight="1" thickTop="1" thickBot="1" x14ac:dyDescent="0.35">
      <c r="D836" s="10"/>
      <c r="G836" s="13">
        <f t="shared" ref="G836:G899" si="69">G835+1</f>
        <v>835</v>
      </c>
      <c r="H836" s="18">
        <v>45902</v>
      </c>
      <c r="I836" s="15" t="s">
        <v>22</v>
      </c>
      <c r="J836" s="15">
        <v>1346.25</v>
      </c>
      <c r="K836" s="15">
        <v>5</v>
      </c>
      <c r="L836" s="15">
        <v>1265.48</v>
      </c>
      <c r="M836" s="16">
        <f t="shared" si="65"/>
        <v>253.096</v>
      </c>
      <c r="N836" s="15">
        <v>0</v>
      </c>
      <c r="O836" s="16">
        <f t="shared" si="66"/>
        <v>1346.25</v>
      </c>
      <c r="P836" s="15" t="s">
        <v>18</v>
      </c>
      <c r="Q836" s="15">
        <v>0.06</v>
      </c>
      <c r="R836" s="16">
        <f t="shared" si="67"/>
        <v>80.774999999999991</v>
      </c>
      <c r="S836" s="15">
        <v>0</v>
      </c>
      <c r="T836" s="15">
        <v>0</v>
      </c>
      <c r="U836" s="17">
        <f t="shared" si="68"/>
        <v>80.774999999999991</v>
      </c>
      <c r="V836" s="12" t="s">
        <v>55</v>
      </c>
      <c r="W836" s="12">
        <v>99</v>
      </c>
    </row>
    <row r="837" spans="4:23" s="12" customFormat="1" ht="30.75" customHeight="1" thickTop="1" thickBot="1" x14ac:dyDescent="0.35">
      <c r="D837" s="10"/>
      <c r="G837" s="13">
        <f t="shared" si="69"/>
        <v>836</v>
      </c>
      <c r="H837" s="18">
        <v>45902</v>
      </c>
      <c r="I837" s="15" t="s">
        <v>23</v>
      </c>
      <c r="J837" s="15">
        <v>40320</v>
      </c>
      <c r="K837" s="15">
        <v>210</v>
      </c>
      <c r="L837" s="15">
        <v>37900.800000000003</v>
      </c>
      <c r="M837" s="16">
        <f t="shared" si="65"/>
        <v>180.48000000000002</v>
      </c>
      <c r="N837" s="15">
        <v>0</v>
      </c>
      <c r="O837" s="16">
        <f t="shared" si="66"/>
        <v>40320</v>
      </c>
      <c r="P837" s="15" t="s">
        <v>18</v>
      </c>
      <c r="Q837" s="15">
        <v>0.06</v>
      </c>
      <c r="R837" s="16">
        <f t="shared" si="67"/>
        <v>2419.1999999999998</v>
      </c>
      <c r="S837" s="15">
        <v>0</v>
      </c>
      <c r="T837" s="15">
        <v>0</v>
      </c>
      <c r="U837" s="17">
        <f t="shared" si="68"/>
        <v>2419.1999999999998</v>
      </c>
      <c r="V837" s="12" t="s">
        <v>55</v>
      </c>
      <c r="W837" s="12">
        <v>99</v>
      </c>
    </row>
    <row r="838" spans="4:23" s="12" customFormat="1" ht="30.75" customHeight="1" thickTop="1" thickBot="1" x14ac:dyDescent="0.35">
      <c r="D838" s="10"/>
      <c r="G838" s="13">
        <f t="shared" si="69"/>
        <v>837</v>
      </c>
      <c r="H838" s="18">
        <v>45902</v>
      </c>
      <c r="I838" s="15" t="s">
        <v>24</v>
      </c>
      <c r="J838" s="15">
        <v>6500.8</v>
      </c>
      <c r="K838" s="15">
        <v>20</v>
      </c>
      <c r="L838" s="15">
        <v>6110.75</v>
      </c>
      <c r="M838" s="16">
        <f t="shared" si="65"/>
        <v>305.53750000000002</v>
      </c>
      <c r="N838" s="15">
        <v>0</v>
      </c>
      <c r="O838" s="16">
        <f t="shared" si="66"/>
        <v>6500.8</v>
      </c>
      <c r="P838" s="15" t="s">
        <v>18</v>
      </c>
      <c r="Q838" s="15">
        <v>0.06</v>
      </c>
      <c r="R838" s="16">
        <f t="shared" si="67"/>
        <v>390.048</v>
      </c>
      <c r="S838" s="15">
        <v>0</v>
      </c>
      <c r="T838" s="15">
        <v>0</v>
      </c>
      <c r="U838" s="17">
        <f t="shared" si="68"/>
        <v>390.048</v>
      </c>
      <c r="V838" s="12" t="s">
        <v>55</v>
      </c>
      <c r="W838" s="12">
        <v>99</v>
      </c>
    </row>
    <row r="839" spans="4:23" s="12" customFormat="1" ht="30.75" customHeight="1" thickTop="1" thickBot="1" x14ac:dyDescent="0.35">
      <c r="D839" s="10"/>
      <c r="G839" s="13">
        <f t="shared" si="69"/>
        <v>838</v>
      </c>
      <c r="H839" s="18">
        <v>45902</v>
      </c>
      <c r="I839" s="15" t="s">
        <v>31</v>
      </c>
      <c r="J839" s="15">
        <v>5760</v>
      </c>
      <c r="K839" s="15">
        <v>30</v>
      </c>
      <c r="L839" s="15">
        <v>5414.4</v>
      </c>
      <c r="M839" s="16">
        <f t="shared" si="65"/>
        <v>180.48</v>
      </c>
      <c r="N839" s="15">
        <v>0</v>
      </c>
      <c r="O839" s="16">
        <f t="shared" si="66"/>
        <v>5760</v>
      </c>
      <c r="P839" s="15" t="s">
        <v>18</v>
      </c>
      <c r="Q839" s="15">
        <v>0.06</v>
      </c>
      <c r="R839" s="16">
        <f t="shared" si="67"/>
        <v>345.59999999999997</v>
      </c>
      <c r="S839" s="15">
        <v>0</v>
      </c>
      <c r="T839" s="15">
        <v>0</v>
      </c>
      <c r="U839" s="17">
        <f t="shared" si="68"/>
        <v>345.59999999999997</v>
      </c>
      <c r="V839" s="12" t="s">
        <v>55</v>
      </c>
      <c r="W839" s="12">
        <v>99</v>
      </c>
    </row>
    <row r="840" spans="4:23" s="12" customFormat="1" ht="30.75" customHeight="1" thickTop="1" thickBot="1" x14ac:dyDescent="0.35">
      <c r="D840" s="10"/>
      <c r="G840" s="13">
        <f t="shared" si="69"/>
        <v>839</v>
      </c>
      <c r="H840" s="18">
        <v>45902</v>
      </c>
      <c r="I840" s="15" t="s">
        <v>36</v>
      </c>
      <c r="J840" s="15">
        <v>650.08000000000004</v>
      </c>
      <c r="K840" s="15">
        <v>2</v>
      </c>
      <c r="L840" s="15">
        <v>611.08000000000004</v>
      </c>
      <c r="M840" s="16">
        <f t="shared" si="65"/>
        <v>305.54000000000002</v>
      </c>
      <c r="N840" s="15">
        <v>0</v>
      </c>
      <c r="O840" s="16">
        <f t="shared" si="66"/>
        <v>650.08000000000004</v>
      </c>
      <c r="P840" s="15" t="s">
        <v>18</v>
      </c>
      <c r="Q840" s="15">
        <v>0.06</v>
      </c>
      <c r="R840" s="16">
        <f t="shared" si="67"/>
        <v>39.004800000000003</v>
      </c>
      <c r="S840" s="15">
        <v>0</v>
      </c>
      <c r="T840" s="15">
        <v>0</v>
      </c>
      <c r="U840" s="17">
        <f t="shared" si="68"/>
        <v>39.004800000000003</v>
      </c>
      <c r="V840" s="12" t="s">
        <v>55</v>
      </c>
      <c r="W840" s="12">
        <v>99</v>
      </c>
    </row>
    <row r="841" spans="4:23" s="12" customFormat="1" ht="30.75" customHeight="1" thickTop="1" thickBot="1" x14ac:dyDescent="0.35">
      <c r="D841" s="10"/>
      <c r="G841" s="13">
        <f t="shared" si="69"/>
        <v>840</v>
      </c>
      <c r="H841" s="18">
        <v>45902</v>
      </c>
      <c r="I841" s="15" t="s">
        <v>28</v>
      </c>
      <c r="J841" s="15">
        <v>26257.5</v>
      </c>
      <c r="K841" s="15">
        <v>50</v>
      </c>
      <c r="L841" s="15">
        <v>25601.06</v>
      </c>
      <c r="M841" s="16">
        <f t="shared" si="65"/>
        <v>512.02120000000002</v>
      </c>
      <c r="N841" s="15">
        <v>0</v>
      </c>
      <c r="O841" s="16">
        <f t="shared" si="66"/>
        <v>26257.5</v>
      </c>
      <c r="P841" s="15" t="s">
        <v>29</v>
      </c>
      <c r="Q841" s="15">
        <v>0.02</v>
      </c>
      <c r="R841" s="16">
        <f t="shared" si="67"/>
        <v>525.15</v>
      </c>
      <c r="S841" s="15">
        <v>0</v>
      </c>
      <c r="T841" s="15">
        <v>0</v>
      </c>
      <c r="U841" s="17">
        <f t="shared" si="68"/>
        <v>525.15</v>
      </c>
      <c r="V841" s="12" t="s">
        <v>55</v>
      </c>
      <c r="W841" s="12">
        <v>99</v>
      </c>
    </row>
    <row r="842" spans="4:23" s="12" customFormat="1" ht="30.75" customHeight="1" thickTop="1" thickBot="1" x14ac:dyDescent="0.35">
      <c r="D842" s="10"/>
      <c r="G842" s="13">
        <f t="shared" si="69"/>
        <v>841</v>
      </c>
      <c r="H842" s="18">
        <v>45905</v>
      </c>
      <c r="I842" s="15" t="s">
        <v>25</v>
      </c>
      <c r="J842" s="15">
        <v>84007</v>
      </c>
      <c r="K842" s="15">
        <v>350</v>
      </c>
      <c r="L842" s="15">
        <v>66558.75</v>
      </c>
      <c r="M842" s="16">
        <f t="shared" si="65"/>
        <v>190.16785714285714</v>
      </c>
      <c r="N842" s="15">
        <v>0</v>
      </c>
      <c r="O842" s="16">
        <f t="shared" si="66"/>
        <v>84007</v>
      </c>
      <c r="P842" s="15" t="s">
        <v>26</v>
      </c>
      <c r="Q842" s="15">
        <v>0.02</v>
      </c>
      <c r="R842" s="16">
        <f t="shared" si="67"/>
        <v>1680.14</v>
      </c>
      <c r="S842" s="15">
        <v>0</v>
      </c>
      <c r="T842" s="15">
        <v>0</v>
      </c>
      <c r="U842" s="17">
        <f t="shared" si="68"/>
        <v>1680.14</v>
      </c>
      <c r="V842" s="12" t="s">
        <v>55</v>
      </c>
      <c r="W842" s="12">
        <v>100</v>
      </c>
    </row>
    <row r="843" spans="4:23" s="12" customFormat="1" ht="30.75" customHeight="1" thickTop="1" thickBot="1" x14ac:dyDescent="0.35">
      <c r="D843" s="10"/>
      <c r="G843" s="13">
        <f t="shared" si="69"/>
        <v>842</v>
      </c>
      <c r="H843" s="18">
        <v>45905</v>
      </c>
      <c r="I843" s="15" t="s">
        <v>30</v>
      </c>
      <c r="J843" s="15">
        <v>76812.5</v>
      </c>
      <c r="K843" s="15">
        <v>250</v>
      </c>
      <c r="L843" s="15">
        <v>49160</v>
      </c>
      <c r="M843" s="16">
        <f t="shared" si="65"/>
        <v>196.64</v>
      </c>
      <c r="N843" s="15">
        <v>0</v>
      </c>
      <c r="O843" s="16">
        <f t="shared" si="66"/>
        <v>76812.5</v>
      </c>
      <c r="P843" s="15" t="s">
        <v>18</v>
      </c>
      <c r="Q843" s="15">
        <v>0.06</v>
      </c>
      <c r="R843" s="16">
        <f t="shared" si="67"/>
        <v>4608.75</v>
      </c>
      <c r="S843" s="15">
        <v>0</v>
      </c>
      <c r="T843" s="15">
        <v>0</v>
      </c>
      <c r="U843" s="17">
        <f t="shared" si="68"/>
        <v>4608.75</v>
      </c>
      <c r="V843" s="12" t="s">
        <v>55</v>
      </c>
      <c r="W843" s="12">
        <v>100</v>
      </c>
    </row>
    <row r="844" spans="4:23" s="12" customFormat="1" ht="30.75" customHeight="1" thickTop="1" thickBot="1" x14ac:dyDescent="0.35">
      <c r="D844" s="10"/>
      <c r="G844" s="13">
        <f t="shared" si="69"/>
        <v>843</v>
      </c>
      <c r="H844" s="18">
        <v>45905</v>
      </c>
      <c r="I844" s="15" t="s">
        <v>17</v>
      </c>
      <c r="J844" s="15">
        <v>92175</v>
      </c>
      <c r="K844" s="15">
        <v>300</v>
      </c>
      <c r="L844" s="15">
        <v>58992</v>
      </c>
      <c r="M844" s="16">
        <f t="shared" si="65"/>
        <v>196.64</v>
      </c>
      <c r="N844" s="15">
        <v>0</v>
      </c>
      <c r="O844" s="16">
        <f t="shared" si="66"/>
        <v>92175</v>
      </c>
      <c r="P844" s="15" t="s">
        <v>18</v>
      </c>
      <c r="Q844" s="15">
        <v>0.06</v>
      </c>
      <c r="R844" s="16">
        <f t="shared" si="67"/>
        <v>5530.5</v>
      </c>
      <c r="S844" s="15">
        <v>0</v>
      </c>
      <c r="T844" s="15">
        <v>0</v>
      </c>
      <c r="U844" s="17">
        <f t="shared" si="68"/>
        <v>5530.5</v>
      </c>
      <c r="V844" s="12" t="s">
        <v>55</v>
      </c>
      <c r="W844" s="12">
        <v>100</v>
      </c>
    </row>
    <row r="845" spans="4:23" s="12" customFormat="1" ht="30.75" customHeight="1" thickTop="1" thickBot="1" x14ac:dyDescent="0.35">
      <c r="D845" s="10"/>
      <c r="G845" s="13">
        <f t="shared" si="69"/>
        <v>844</v>
      </c>
      <c r="H845" s="18">
        <v>45905</v>
      </c>
      <c r="I845" s="15" t="s">
        <v>35</v>
      </c>
      <c r="J845" s="15">
        <v>2628</v>
      </c>
      <c r="K845" s="15">
        <v>15</v>
      </c>
      <c r="L845" s="15">
        <v>2286.36</v>
      </c>
      <c r="M845" s="16">
        <f t="shared" si="65"/>
        <v>152.42400000000001</v>
      </c>
      <c r="N845" s="15">
        <v>0</v>
      </c>
      <c r="O845" s="16">
        <f t="shared" si="66"/>
        <v>2628</v>
      </c>
      <c r="P845" s="15" t="s">
        <v>18</v>
      </c>
      <c r="Q845" s="15">
        <v>0.06</v>
      </c>
      <c r="R845" s="16">
        <f t="shared" si="67"/>
        <v>157.68</v>
      </c>
      <c r="S845" s="15">
        <v>0</v>
      </c>
      <c r="T845" s="15">
        <v>0</v>
      </c>
      <c r="U845" s="17">
        <f t="shared" si="68"/>
        <v>157.68</v>
      </c>
      <c r="V845" s="12" t="s">
        <v>55</v>
      </c>
      <c r="W845" s="12">
        <v>100</v>
      </c>
    </row>
    <row r="846" spans="4:23" s="12" customFormat="1" ht="30.75" customHeight="1" thickTop="1" thickBot="1" x14ac:dyDescent="0.35">
      <c r="D846" s="10"/>
      <c r="G846" s="13">
        <f t="shared" si="69"/>
        <v>845</v>
      </c>
      <c r="H846" s="18">
        <v>45905</v>
      </c>
      <c r="I846" s="36" t="s">
        <v>20</v>
      </c>
      <c r="J846" s="15">
        <v>936</v>
      </c>
      <c r="K846" s="15">
        <v>3</v>
      </c>
      <c r="L846" s="15">
        <v>879.84</v>
      </c>
      <c r="M846" s="16">
        <f t="shared" si="65"/>
        <v>293.28000000000003</v>
      </c>
      <c r="N846" s="15">
        <v>0</v>
      </c>
      <c r="O846" s="16">
        <f t="shared" si="66"/>
        <v>936</v>
      </c>
      <c r="P846" s="15" t="s">
        <v>18</v>
      </c>
      <c r="Q846" s="15">
        <v>0.06</v>
      </c>
      <c r="R846" s="16">
        <f t="shared" si="67"/>
        <v>56.16</v>
      </c>
      <c r="S846" s="15">
        <v>0</v>
      </c>
      <c r="T846" s="15">
        <v>0</v>
      </c>
      <c r="U846" s="17">
        <f t="shared" si="68"/>
        <v>56.16</v>
      </c>
      <c r="V846" s="12" t="s">
        <v>55</v>
      </c>
      <c r="W846" s="12">
        <v>100</v>
      </c>
    </row>
    <row r="847" spans="4:23" s="12" customFormat="1" ht="30.75" customHeight="1" thickTop="1" thickBot="1" x14ac:dyDescent="0.35">
      <c r="D847" s="10"/>
      <c r="G847" s="13">
        <f t="shared" si="69"/>
        <v>846</v>
      </c>
      <c r="H847" s="18">
        <v>45905</v>
      </c>
      <c r="I847" s="15" t="s">
        <v>21</v>
      </c>
      <c r="J847" s="15">
        <v>2472</v>
      </c>
      <c r="K847" s="15">
        <v>10</v>
      </c>
      <c r="L847" s="15">
        <v>2323.6799999999998</v>
      </c>
      <c r="M847" s="16">
        <f t="shared" si="65"/>
        <v>232.36799999999999</v>
      </c>
      <c r="N847" s="15">
        <v>0</v>
      </c>
      <c r="O847" s="16">
        <f t="shared" si="66"/>
        <v>2472</v>
      </c>
      <c r="P847" s="15" t="s">
        <v>18</v>
      </c>
      <c r="Q847" s="15">
        <v>0.06</v>
      </c>
      <c r="R847" s="16">
        <f t="shared" si="67"/>
        <v>148.32</v>
      </c>
      <c r="S847" s="15">
        <v>0</v>
      </c>
      <c r="T847" s="15">
        <v>0</v>
      </c>
      <c r="U847" s="17">
        <f t="shared" si="68"/>
        <v>148.32</v>
      </c>
      <c r="V847" s="12" t="s">
        <v>55</v>
      </c>
      <c r="W847" s="12">
        <v>100</v>
      </c>
    </row>
    <row r="848" spans="4:23" s="12" customFormat="1" ht="30.75" customHeight="1" thickTop="1" thickBot="1" x14ac:dyDescent="0.35">
      <c r="D848" s="10"/>
      <c r="G848" s="13">
        <f t="shared" si="69"/>
        <v>847</v>
      </c>
      <c r="H848" s="18">
        <v>45905</v>
      </c>
      <c r="I848" s="15" t="s">
        <v>22</v>
      </c>
      <c r="J848" s="15">
        <v>1346.25</v>
      </c>
      <c r="K848" s="15">
        <v>5</v>
      </c>
      <c r="L848" s="15">
        <v>1265.48</v>
      </c>
      <c r="M848" s="16">
        <f t="shared" si="65"/>
        <v>253.096</v>
      </c>
      <c r="N848" s="15">
        <v>0</v>
      </c>
      <c r="O848" s="16">
        <f t="shared" si="66"/>
        <v>1346.25</v>
      </c>
      <c r="P848" s="15" t="s">
        <v>18</v>
      </c>
      <c r="Q848" s="15">
        <v>0.06</v>
      </c>
      <c r="R848" s="16">
        <f t="shared" si="67"/>
        <v>80.774999999999991</v>
      </c>
      <c r="S848" s="15">
        <v>0</v>
      </c>
      <c r="T848" s="15">
        <v>0</v>
      </c>
      <c r="U848" s="17">
        <f t="shared" si="68"/>
        <v>80.774999999999991</v>
      </c>
      <c r="V848" s="12" t="s">
        <v>55</v>
      </c>
      <c r="W848" s="12">
        <v>100</v>
      </c>
    </row>
    <row r="849" spans="4:23" s="12" customFormat="1" ht="30.75" customHeight="1" thickTop="1" thickBot="1" x14ac:dyDescent="0.35">
      <c r="D849" s="10"/>
      <c r="G849" s="13">
        <f t="shared" si="69"/>
        <v>848</v>
      </c>
      <c r="H849" s="18">
        <v>45905</v>
      </c>
      <c r="I849" s="15" t="s">
        <v>23</v>
      </c>
      <c r="J849" s="15">
        <v>32640</v>
      </c>
      <c r="K849" s="15">
        <v>170</v>
      </c>
      <c r="L849" s="15">
        <v>30681.599999999999</v>
      </c>
      <c r="M849" s="16">
        <f t="shared" si="65"/>
        <v>180.48</v>
      </c>
      <c r="N849" s="15">
        <v>0</v>
      </c>
      <c r="O849" s="16">
        <f t="shared" si="66"/>
        <v>32640</v>
      </c>
      <c r="P849" s="15" t="s">
        <v>18</v>
      </c>
      <c r="Q849" s="15">
        <v>0.06</v>
      </c>
      <c r="R849" s="16">
        <f t="shared" si="67"/>
        <v>1958.3999999999999</v>
      </c>
      <c r="S849" s="15">
        <v>0</v>
      </c>
      <c r="T849" s="15">
        <v>0</v>
      </c>
      <c r="U849" s="17">
        <f t="shared" si="68"/>
        <v>1958.3999999999999</v>
      </c>
      <c r="V849" s="12" t="s">
        <v>55</v>
      </c>
      <c r="W849" s="12">
        <v>100</v>
      </c>
    </row>
    <row r="850" spans="4:23" s="12" customFormat="1" ht="30.75" customHeight="1" thickTop="1" thickBot="1" x14ac:dyDescent="0.35">
      <c r="D850" s="10"/>
      <c r="G850" s="13">
        <f t="shared" si="69"/>
        <v>849</v>
      </c>
      <c r="H850" s="18">
        <v>45905</v>
      </c>
      <c r="I850" s="15" t="s">
        <v>24</v>
      </c>
      <c r="J850" s="15">
        <v>6500.8</v>
      </c>
      <c r="K850" s="15">
        <v>20</v>
      </c>
      <c r="L850" s="15">
        <v>6110.75</v>
      </c>
      <c r="M850" s="16">
        <f t="shared" si="65"/>
        <v>305.53750000000002</v>
      </c>
      <c r="N850" s="15">
        <v>0</v>
      </c>
      <c r="O850" s="16">
        <f t="shared" si="66"/>
        <v>6500.8</v>
      </c>
      <c r="P850" s="15" t="s">
        <v>18</v>
      </c>
      <c r="Q850" s="15">
        <v>0.06</v>
      </c>
      <c r="R850" s="16">
        <f t="shared" si="67"/>
        <v>390.048</v>
      </c>
      <c r="S850" s="15">
        <v>0</v>
      </c>
      <c r="T850" s="15">
        <v>0</v>
      </c>
      <c r="U850" s="17">
        <f t="shared" si="68"/>
        <v>390.048</v>
      </c>
      <c r="V850" s="12" t="s">
        <v>55</v>
      </c>
      <c r="W850" s="12">
        <v>100</v>
      </c>
    </row>
    <row r="851" spans="4:23" s="12" customFormat="1" ht="30.75" customHeight="1" thickTop="1" thickBot="1" x14ac:dyDescent="0.35">
      <c r="D851" s="10"/>
      <c r="G851" s="13">
        <f t="shared" si="69"/>
        <v>850</v>
      </c>
      <c r="H851" s="18">
        <v>45905</v>
      </c>
      <c r="I851" s="15" t="s">
        <v>31</v>
      </c>
      <c r="J851" s="15">
        <v>5760</v>
      </c>
      <c r="K851" s="15">
        <v>30</v>
      </c>
      <c r="L851" s="15">
        <v>5414.4</v>
      </c>
      <c r="M851" s="16">
        <f t="shared" si="65"/>
        <v>180.48</v>
      </c>
      <c r="N851" s="15">
        <v>0</v>
      </c>
      <c r="O851" s="16">
        <f t="shared" si="66"/>
        <v>5760</v>
      </c>
      <c r="P851" s="15" t="s">
        <v>18</v>
      </c>
      <c r="Q851" s="15">
        <v>0.06</v>
      </c>
      <c r="R851" s="16">
        <f t="shared" si="67"/>
        <v>345.59999999999997</v>
      </c>
      <c r="S851" s="15">
        <v>0</v>
      </c>
      <c r="T851" s="15">
        <v>0</v>
      </c>
      <c r="U851" s="17">
        <f t="shared" si="68"/>
        <v>345.59999999999997</v>
      </c>
      <c r="V851" s="12" t="s">
        <v>55</v>
      </c>
      <c r="W851" s="12">
        <v>100</v>
      </c>
    </row>
    <row r="852" spans="4:23" s="12" customFormat="1" ht="30.75" customHeight="1" thickTop="1" thickBot="1" x14ac:dyDescent="0.35">
      <c r="D852" s="10"/>
      <c r="G852" s="13">
        <f t="shared" si="69"/>
        <v>851</v>
      </c>
      <c r="H852" s="18">
        <v>45905</v>
      </c>
      <c r="I852" s="15" t="s">
        <v>36</v>
      </c>
      <c r="J852" s="15">
        <v>975.12</v>
      </c>
      <c r="K852" s="15">
        <v>3</v>
      </c>
      <c r="L852" s="15">
        <v>916.61</v>
      </c>
      <c r="M852" s="16">
        <f t="shared" si="65"/>
        <v>305.53666666666669</v>
      </c>
      <c r="N852" s="15">
        <v>0</v>
      </c>
      <c r="O852" s="16">
        <f t="shared" si="66"/>
        <v>975.12</v>
      </c>
      <c r="P852" s="15" t="s">
        <v>18</v>
      </c>
      <c r="Q852" s="15">
        <v>0.06</v>
      </c>
      <c r="R852" s="16">
        <f t="shared" si="67"/>
        <v>58.507199999999997</v>
      </c>
      <c r="S852" s="15">
        <v>0</v>
      </c>
      <c r="T852" s="15">
        <v>0</v>
      </c>
      <c r="U852" s="17">
        <f t="shared" si="68"/>
        <v>58.507199999999997</v>
      </c>
      <c r="V852" s="12" t="s">
        <v>55</v>
      </c>
      <c r="W852" s="12">
        <v>100</v>
      </c>
    </row>
    <row r="853" spans="4:23" s="12" customFormat="1" ht="30.75" customHeight="1" thickTop="1" thickBot="1" x14ac:dyDescent="0.35">
      <c r="D853" s="10"/>
      <c r="G853" s="13">
        <f t="shared" si="69"/>
        <v>852</v>
      </c>
      <c r="H853" s="18">
        <v>45905</v>
      </c>
      <c r="I853" s="15" t="s">
        <v>37</v>
      </c>
      <c r="J853" s="15">
        <v>52515</v>
      </c>
      <c r="K853" s="15">
        <v>100</v>
      </c>
      <c r="L853" s="15">
        <v>51202.13</v>
      </c>
      <c r="M853" s="16">
        <f t="shared" si="65"/>
        <v>512.0213</v>
      </c>
      <c r="N853" s="15">
        <v>0</v>
      </c>
      <c r="O853" s="16">
        <f t="shared" si="66"/>
        <v>52515</v>
      </c>
      <c r="P853" s="15" t="s">
        <v>29</v>
      </c>
      <c r="Q853" s="15">
        <v>0.02</v>
      </c>
      <c r="R853" s="16">
        <f t="shared" si="67"/>
        <v>1050.3</v>
      </c>
      <c r="S853" s="15">
        <v>0</v>
      </c>
      <c r="T853" s="15">
        <v>0</v>
      </c>
      <c r="U853" s="17">
        <f t="shared" si="68"/>
        <v>1050.3</v>
      </c>
      <c r="V853" s="12" t="s">
        <v>55</v>
      </c>
      <c r="W853" s="12">
        <v>100</v>
      </c>
    </row>
    <row r="854" spans="4:23" s="12" customFormat="1" ht="30.75" customHeight="1" thickTop="1" thickBot="1" x14ac:dyDescent="0.35">
      <c r="D854" s="10"/>
      <c r="G854" s="13">
        <f t="shared" si="69"/>
        <v>853</v>
      </c>
      <c r="H854" s="18">
        <v>45908</v>
      </c>
      <c r="I854" s="15" t="s">
        <v>30</v>
      </c>
      <c r="J854" s="15">
        <v>92175</v>
      </c>
      <c r="K854" s="15">
        <v>300</v>
      </c>
      <c r="L854" s="15">
        <v>58992</v>
      </c>
      <c r="M854" s="16">
        <f t="shared" si="65"/>
        <v>196.64</v>
      </c>
      <c r="N854" s="15">
        <v>0</v>
      </c>
      <c r="O854" s="16">
        <f t="shared" si="66"/>
        <v>92175</v>
      </c>
      <c r="P854" s="15" t="s">
        <v>18</v>
      </c>
      <c r="Q854" s="15">
        <v>0.06</v>
      </c>
      <c r="R854" s="16">
        <f t="shared" si="67"/>
        <v>5530.5</v>
      </c>
      <c r="S854" s="15">
        <v>0</v>
      </c>
      <c r="T854" s="15">
        <v>0</v>
      </c>
      <c r="U854" s="17">
        <f t="shared" si="68"/>
        <v>5530.5</v>
      </c>
      <c r="V854" s="12" t="s">
        <v>55</v>
      </c>
      <c r="W854" s="12">
        <v>101</v>
      </c>
    </row>
    <row r="855" spans="4:23" s="12" customFormat="1" ht="30.75" customHeight="1" thickTop="1" thickBot="1" x14ac:dyDescent="0.35">
      <c r="D855" s="10"/>
      <c r="G855" s="13">
        <f t="shared" si="69"/>
        <v>854</v>
      </c>
      <c r="H855" s="18">
        <v>45908</v>
      </c>
      <c r="I855" s="15" t="s">
        <v>17</v>
      </c>
      <c r="J855" s="15">
        <v>123514.5</v>
      </c>
      <c r="K855" s="15">
        <v>402</v>
      </c>
      <c r="L855" s="15">
        <v>79049.279999999999</v>
      </c>
      <c r="M855" s="16">
        <f t="shared" si="65"/>
        <v>196.64</v>
      </c>
      <c r="N855" s="15">
        <v>0</v>
      </c>
      <c r="O855" s="16">
        <f t="shared" si="66"/>
        <v>123514.5</v>
      </c>
      <c r="P855" s="15" t="s">
        <v>18</v>
      </c>
      <c r="Q855" s="15">
        <v>0.06</v>
      </c>
      <c r="R855" s="16">
        <f t="shared" si="67"/>
        <v>7410.87</v>
      </c>
      <c r="S855" s="15">
        <v>0</v>
      </c>
      <c r="T855" s="15">
        <v>0</v>
      </c>
      <c r="U855" s="17">
        <f t="shared" si="68"/>
        <v>7410.87</v>
      </c>
      <c r="V855" s="12" t="s">
        <v>55</v>
      </c>
      <c r="W855" s="12">
        <v>101</v>
      </c>
    </row>
    <row r="856" spans="4:23" s="12" customFormat="1" ht="30.75" customHeight="1" thickTop="1" thickBot="1" x14ac:dyDescent="0.35">
      <c r="D856" s="10"/>
      <c r="G856" s="13">
        <f t="shared" si="69"/>
        <v>855</v>
      </c>
      <c r="H856" s="18">
        <v>45908</v>
      </c>
      <c r="I856" s="36" t="s">
        <v>20</v>
      </c>
      <c r="J856" s="15">
        <v>936</v>
      </c>
      <c r="K856" s="15">
        <v>3</v>
      </c>
      <c r="L856" s="15">
        <v>879.84</v>
      </c>
      <c r="M856" s="16">
        <f t="shared" si="65"/>
        <v>293.28000000000003</v>
      </c>
      <c r="N856" s="15">
        <v>0</v>
      </c>
      <c r="O856" s="16">
        <f t="shared" si="66"/>
        <v>936</v>
      </c>
      <c r="P856" s="15" t="s">
        <v>18</v>
      </c>
      <c r="Q856" s="15">
        <v>0.06</v>
      </c>
      <c r="R856" s="16">
        <f t="shared" si="67"/>
        <v>56.16</v>
      </c>
      <c r="S856" s="15">
        <v>0</v>
      </c>
      <c r="T856" s="15">
        <v>0</v>
      </c>
      <c r="U856" s="17">
        <f t="shared" si="68"/>
        <v>56.16</v>
      </c>
      <c r="V856" s="12" t="s">
        <v>55</v>
      </c>
      <c r="W856" s="12">
        <v>101</v>
      </c>
    </row>
    <row r="857" spans="4:23" s="12" customFormat="1" ht="30.75" customHeight="1" thickTop="1" thickBot="1" x14ac:dyDescent="0.35">
      <c r="D857" s="10"/>
      <c r="G857" s="13">
        <f t="shared" si="69"/>
        <v>856</v>
      </c>
      <c r="H857" s="18">
        <v>45908</v>
      </c>
      <c r="I857" s="15" t="s">
        <v>21</v>
      </c>
      <c r="J857" s="15">
        <v>1977.6</v>
      </c>
      <c r="K857" s="15">
        <v>8</v>
      </c>
      <c r="L857" s="15">
        <v>1858.94</v>
      </c>
      <c r="M857" s="16">
        <f t="shared" si="65"/>
        <v>232.36750000000001</v>
      </c>
      <c r="N857" s="15">
        <v>0</v>
      </c>
      <c r="O857" s="16">
        <f t="shared" si="66"/>
        <v>1977.6</v>
      </c>
      <c r="P857" s="15" t="s">
        <v>18</v>
      </c>
      <c r="Q857" s="15">
        <v>0.06</v>
      </c>
      <c r="R857" s="16">
        <f t="shared" si="67"/>
        <v>118.65599999999999</v>
      </c>
      <c r="S857" s="15">
        <v>0</v>
      </c>
      <c r="T857" s="15">
        <v>0</v>
      </c>
      <c r="U857" s="17">
        <f t="shared" si="68"/>
        <v>118.65599999999999</v>
      </c>
      <c r="V857" s="12" t="s">
        <v>55</v>
      </c>
      <c r="W857" s="12">
        <v>101</v>
      </c>
    </row>
    <row r="858" spans="4:23" s="12" customFormat="1" ht="30.75" customHeight="1" thickTop="1" thickBot="1" x14ac:dyDescent="0.35">
      <c r="D858" s="10"/>
      <c r="G858" s="13">
        <f t="shared" si="69"/>
        <v>857</v>
      </c>
      <c r="H858" s="18">
        <v>45908</v>
      </c>
      <c r="I858" s="15" t="s">
        <v>22</v>
      </c>
      <c r="J858" s="15">
        <v>1346.25</v>
      </c>
      <c r="K858" s="15">
        <v>5</v>
      </c>
      <c r="L858" s="15">
        <v>1265.48</v>
      </c>
      <c r="M858" s="16">
        <f t="shared" si="65"/>
        <v>253.096</v>
      </c>
      <c r="N858" s="15">
        <v>0</v>
      </c>
      <c r="O858" s="16">
        <f t="shared" si="66"/>
        <v>1346.25</v>
      </c>
      <c r="P858" s="15" t="s">
        <v>18</v>
      </c>
      <c r="Q858" s="15">
        <v>0.06</v>
      </c>
      <c r="R858" s="16">
        <f t="shared" si="67"/>
        <v>80.774999999999991</v>
      </c>
      <c r="S858" s="15">
        <v>0</v>
      </c>
      <c r="T858" s="15">
        <v>0</v>
      </c>
      <c r="U858" s="17">
        <f t="shared" si="68"/>
        <v>80.774999999999991</v>
      </c>
      <c r="V858" s="12" t="s">
        <v>55</v>
      </c>
      <c r="W858" s="12">
        <v>101</v>
      </c>
    </row>
    <row r="859" spans="4:23" s="12" customFormat="1" ht="30.75" customHeight="1" thickTop="1" thickBot="1" x14ac:dyDescent="0.35">
      <c r="D859" s="10"/>
      <c r="G859" s="13">
        <f t="shared" si="69"/>
        <v>858</v>
      </c>
      <c r="H859" s="18">
        <v>45908</v>
      </c>
      <c r="I859" s="15" t="s">
        <v>23</v>
      </c>
      <c r="J859" s="15">
        <v>20160.8</v>
      </c>
      <c r="K859" s="15">
        <v>105</v>
      </c>
      <c r="L859" s="15">
        <v>18950.400000000001</v>
      </c>
      <c r="M859" s="16">
        <f t="shared" si="65"/>
        <v>180.48000000000002</v>
      </c>
      <c r="N859" s="15">
        <v>0</v>
      </c>
      <c r="O859" s="16">
        <f t="shared" si="66"/>
        <v>20160.8</v>
      </c>
      <c r="P859" s="15" t="s">
        <v>18</v>
      </c>
      <c r="Q859" s="15">
        <v>0.06</v>
      </c>
      <c r="R859" s="16">
        <f t="shared" si="67"/>
        <v>1209.6479999999999</v>
      </c>
      <c r="S859" s="15">
        <v>0</v>
      </c>
      <c r="T859" s="15">
        <v>0</v>
      </c>
      <c r="U859" s="17">
        <f t="shared" si="68"/>
        <v>1209.6479999999999</v>
      </c>
      <c r="V859" s="12" t="s">
        <v>55</v>
      </c>
      <c r="W859" s="12">
        <v>101</v>
      </c>
    </row>
    <row r="860" spans="4:23" s="12" customFormat="1" ht="30.75" customHeight="1" thickTop="1" thickBot="1" x14ac:dyDescent="0.35">
      <c r="D860" s="10"/>
      <c r="G860" s="13">
        <f t="shared" si="69"/>
        <v>859</v>
      </c>
      <c r="H860" s="18">
        <v>45908</v>
      </c>
      <c r="I860" s="15" t="s">
        <v>24</v>
      </c>
      <c r="J860" s="15">
        <v>6500.8</v>
      </c>
      <c r="K860" s="15">
        <v>20</v>
      </c>
      <c r="L860" s="15">
        <v>6110.75</v>
      </c>
      <c r="M860" s="16">
        <f t="shared" si="65"/>
        <v>305.53750000000002</v>
      </c>
      <c r="N860" s="15">
        <v>0</v>
      </c>
      <c r="O860" s="16">
        <f t="shared" si="66"/>
        <v>6500.8</v>
      </c>
      <c r="P860" s="15" t="s">
        <v>18</v>
      </c>
      <c r="Q860" s="15">
        <v>0.06</v>
      </c>
      <c r="R860" s="16">
        <f t="shared" si="67"/>
        <v>390.048</v>
      </c>
      <c r="S860" s="15">
        <v>0</v>
      </c>
      <c r="T860" s="15">
        <v>0</v>
      </c>
      <c r="U860" s="17">
        <f t="shared" si="68"/>
        <v>390.048</v>
      </c>
      <c r="V860" s="12" t="s">
        <v>55</v>
      </c>
      <c r="W860" s="12">
        <v>101</v>
      </c>
    </row>
    <row r="861" spans="4:23" s="12" customFormat="1" ht="30.75" customHeight="1" thickTop="1" thickBot="1" x14ac:dyDescent="0.35">
      <c r="D861" s="10"/>
      <c r="G861" s="13">
        <f t="shared" si="69"/>
        <v>860</v>
      </c>
      <c r="H861" s="18">
        <v>45908</v>
      </c>
      <c r="I861" s="15" t="s">
        <v>31</v>
      </c>
      <c r="J861" s="15">
        <v>5760</v>
      </c>
      <c r="K861" s="15">
        <v>30</v>
      </c>
      <c r="L861" s="15">
        <v>5414.4</v>
      </c>
      <c r="M861" s="16">
        <f t="shared" si="65"/>
        <v>180.48</v>
      </c>
      <c r="N861" s="15">
        <v>0</v>
      </c>
      <c r="O861" s="16">
        <f t="shared" si="66"/>
        <v>5760</v>
      </c>
      <c r="P861" s="15" t="s">
        <v>18</v>
      </c>
      <c r="Q861" s="15">
        <v>0.06</v>
      </c>
      <c r="R861" s="16">
        <f t="shared" si="67"/>
        <v>345.59999999999997</v>
      </c>
      <c r="S861" s="15">
        <v>0</v>
      </c>
      <c r="T861" s="15">
        <v>0</v>
      </c>
      <c r="U861" s="17">
        <f t="shared" si="68"/>
        <v>345.59999999999997</v>
      </c>
      <c r="V861" s="12" t="s">
        <v>55</v>
      </c>
      <c r="W861" s="12">
        <v>101</v>
      </c>
    </row>
    <row r="862" spans="4:23" s="12" customFormat="1" ht="30.75" customHeight="1" thickTop="1" thickBot="1" x14ac:dyDescent="0.35">
      <c r="D862" s="10"/>
      <c r="G862" s="13">
        <f t="shared" si="69"/>
        <v>861</v>
      </c>
      <c r="H862" s="18">
        <v>45910</v>
      </c>
      <c r="I862" s="15" t="s">
        <v>30</v>
      </c>
      <c r="J862" s="15">
        <v>61450</v>
      </c>
      <c r="K862" s="15">
        <v>200</v>
      </c>
      <c r="L862" s="15">
        <v>48951.07</v>
      </c>
      <c r="M862" s="16">
        <f t="shared" si="65"/>
        <v>244.75534999999999</v>
      </c>
      <c r="N862" s="15">
        <v>0</v>
      </c>
      <c r="O862" s="16">
        <f t="shared" si="66"/>
        <v>61450</v>
      </c>
      <c r="P862" s="15" t="s">
        <v>18</v>
      </c>
      <c r="Q862" s="15">
        <v>0.06</v>
      </c>
      <c r="R862" s="16">
        <f t="shared" si="67"/>
        <v>3687</v>
      </c>
      <c r="S862" s="15">
        <v>0</v>
      </c>
      <c r="T862" s="15">
        <v>0</v>
      </c>
      <c r="U862" s="17">
        <f t="shared" si="68"/>
        <v>3687</v>
      </c>
      <c r="V862" s="12" t="s">
        <v>55</v>
      </c>
      <c r="W862" s="12">
        <v>102</v>
      </c>
    </row>
    <row r="863" spans="4:23" s="12" customFormat="1" ht="30.75" customHeight="1" thickTop="1" thickBot="1" x14ac:dyDescent="0.35">
      <c r="D863" s="10"/>
      <c r="G863" s="13">
        <f t="shared" si="69"/>
        <v>862</v>
      </c>
      <c r="H863" s="18">
        <v>45910</v>
      </c>
      <c r="I863" s="15" t="s">
        <v>17</v>
      </c>
      <c r="J863" s="15">
        <v>138262.5</v>
      </c>
      <c r="K863" s="15">
        <v>450</v>
      </c>
      <c r="L863" s="15">
        <v>88488</v>
      </c>
      <c r="M863" s="16">
        <f t="shared" si="65"/>
        <v>196.64</v>
      </c>
      <c r="N863" s="15">
        <v>0</v>
      </c>
      <c r="O863" s="16">
        <f t="shared" si="66"/>
        <v>138262.5</v>
      </c>
      <c r="P863" s="15" t="s">
        <v>18</v>
      </c>
      <c r="Q863" s="15">
        <v>0.06</v>
      </c>
      <c r="R863" s="16">
        <f t="shared" si="67"/>
        <v>8295.75</v>
      </c>
      <c r="S863" s="15">
        <v>0</v>
      </c>
      <c r="T863" s="15">
        <v>0</v>
      </c>
      <c r="U863" s="17">
        <f t="shared" si="68"/>
        <v>8295.75</v>
      </c>
      <c r="V863" s="12" t="s">
        <v>55</v>
      </c>
      <c r="W863" s="12">
        <v>102</v>
      </c>
    </row>
    <row r="864" spans="4:23" s="12" customFormat="1" ht="30.75" customHeight="1" thickTop="1" thickBot="1" x14ac:dyDescent="0.35">
      <c r="D864" s="10"/>
      <c r="G864" s="13">
        <f t="shared" si="69"/>
        <v>863</v>
      </c>
      <c r="H864" s="18">
        <v>45910</v>
      </c>
      <c r="I864" s="15" t="s">
        <v>35</v>
      </c>
      <c r="J864" s="15">
        <v>2628</v>
      </c>
      <c r="K864" s="15">
        <v>15</v>
      </c>
      <c r="L864" s="15">
        <v>2286.36</v>
      </c>
      <c r="M864" s="16">
        <f t="shared" si="65"/>
        <v>152.42400000000001</v>
      </c>
      <c r="N864" s="15">
        <v>0</v>
      </c>
      <c r="O864" s="16">
        <f t="shared" si="66"/>
        <v>2628</v>
      </c>
      <c r="P864" s="15" t="s">
        <v>18</v>
      </c>
      <c r="Q864" s="15">
        <v>0.06</v>
      </c>
      <c r="R864" s="16">
        <f t="shared" si="67"/>
        <v>157.68</v>
      </c>
      <c r="S864" s="15">
        <v>0</v>
      </c>
      <c r="T864" s="15">
        <v>0</v>
      </c>
      <c r="U864" s="17">
        <f t="shared" si="68"/>
        <v>157.68</v>
      </c>
      <c r="V864" s="12" t="s">
        <v>55</v>
      </c>
      <c r="W864" s="12">
        <v>102</v>
      </c>
    </row>
    <row r="865" spans="4:23" s="12" customFormat="1" ht="30.75" customHeight="1" thickTop="1" thickBot="1" x14ac:dyDescent="0.35">
      <c r="D865" s="10"/>
      <c r="G865" s="13">
        <f t="shared" si="69"/>
        <v>864</v>
      </c>
      <c r="H865" s="18">
        <v>45910</v>
      </c>
      <c r="I865" s="36" t="s">
        <v>20</v>
      </c>
      <c r="J865" s="15">
        <v>936</v>
      </c>
      <c r="K865" s="15">
        <v>3</v>
      </c>
      <c r="L865" s="15">
        <v>879.84</v>
      </c>
      <c r="M865" s="16">
        <f t="shared" si="65"/>
        <v>293.28000000000003</v>
      </c>
      <c r="N865" s="15">
        <v>0</v>
      </c>
      <c r="O865" s="16">
        <f t="shared" si="66"/>
        <v>936</v>
      </c>
      <c r="P865" s="15" t="s">
        <v>18</v>
      </c>
      <c r="Q865" s="15">
        <v>0.06</v>
      </c>
      <c r="R865" s="16">
        <f t="shared" si="67"/>
        <v>56.16</v>
      </c>
      <c r="S865" s="15">
        <v>0</v>
      </c>
      <c r="T865" s="15">
        <v>0</v>
      </c>
      <c r="U865" s="17">
        <f t="shared" si="68"/>
        <v>56.16</v>
      </c>
      <c r="V865" s="12" t="s">
        <v>55</v>
      </c>
      <c r="W865" s="12">
        <v>102</v>
      </c>
    </row>
    <row r="866" spans="4:23" s="12" customFormat="1" ht="30.75" customHeight="1" thickTop="1" thickBot="1" x14ac:dyDescent="0.35">
      <c r="D866" s="10"/>
      <c r="G866" s="13">
        <f t="shared" si="69"/>
        <v>865</v>
      </c>
      <c r="H866" s="18">
        <v>45910</v>
      </c>
      <c r="I866" s="15" t="s">
        <v>23</v>
      </c>
      <c r="J866" s="15">
        <v>38400</v>
      </c>
      <c r="K866" s="15">
        <v>200</v>
      </c>
      <c r="L866" s="15">
        <v>36096</v>
      </c>
      <c r="M866" s="16">
        <f t="shared" si="65"/>
        <v>180.48</v>
      </c>
      <c r="N866" s="15">
        <v>0</v>
      </c>
      <c r="O866" s="16">
        <f t="shared" si="66"/>
        <v>38400</v>
      </c>
      <c r="P866" s="15" t="s">
        <v>18</v>
      </c>
      <c r="Q866" s="15">
        <v>0.06</v>
      </c>
      <c r="R866" s="16">
        <f t="shared" si="67"/>
        <v>2304</v>
      </c>
      <c r="S866" s="15">
        <v>0</v>
      </c>
      <c r="T866" s="15">
        <v>0</v>
      </c>
      <c r="U866" s="17">
        <f t="shared" si="68"/>
        <v>2304</v>
      </c>
      <c r="V866" s="12" t="s">
        <v>55</v>
      </c>
      <c r="W866" s="12">
        <v>102</v>
      </c>
    </row>
    <row r="867" spans="4:23" s="12" customFormat="1" ht="30.75" customHeight="1" thickTop="1" thickBot="1" x14ac:dyDescent="0.35">
      <c r="D867" s="10"/>
      <c r="G867" s="13">
        <f t="shared" si="69"/>
        <v>866</v>
      </c>
      <c r="H867" s="18">
        <v>45910</v>
      </c>
      <c r="I867" s="15" t="s">
        <v>24</v>
      </c>
      <c r="J867" s="15">
        <v>6500.8</v>
      </c>
      <c r="K867" s="15">
        <v>20</v>
      </c>
      <c r="L867" s="15">
        <v>6110.75</v>
      </c>
      <c r="M867" s="16">
        <f t="shared" si="65"/>
        <v>305.53750000000002</v>
      </c>
      <c r="N867" s="15">
        <v>0</v>
      </c>
      <c r="O867" s="16">
        <f t="shared" si="66"/>
        <v>6500.8</v>
      </c>
      <c r="P867" s="15" t="s">
        <v>18</v>
      </c>
      <c r="Q867" s="15">
        <v>0.06</v>
      </c>
      <c r="R867" s="16">
        <f t="shared" si="67"/>
        <v>390.048</v>
      </c>
      <c r="S867" s="15">
        <v>0</v>
      </c>
      <c r="T867" s="15">
        <v>0</v>
      </c>
      <c r="U867" s="17">
        <f t="shared" si="68"/>
        <v>390.048</v>
      </c>
      <c r="V867" s="12" t="s">
        <v>55</v>
      </c>
      <c r="W867" s="12">
        <v>102</v>
      </c>
    </row>
    <row r="868" spans="4:23" s="12" customFormat="1" ht="30.75" customHeight="1" thickTop="1" thickBot="1" x14ac:dyDescent="0.35">
      <c r="D868" s="10"/>
      <c r="G868" s="13">
        <f t="shared" si="69"/>
        <v>867</v>
      </c>
      <c r="H868" s="18">
        <v>45910</v>
      </c>
      <c r="I868" s="15" t="s">
        <v>31</v>
      </c>
      <c r="J868" s="15">
        <v>5760</v>
      </c>
      <c r="K868" s="15">
        <v>30</v>
      </c>
      <c r="L868" s="15">
        <v>5414.4</v>
      </c>
      <c r="M868" s="16">
        <f t="shared" si="65"/>
        <v>180.48</v>
      </c>
      <c r="N868" s="15">
        <v>0</v>
      </c>
      <c r="O868" s="16">
        <f t="shared" si="66"/>
        <v>5760</v>
      </c>
      <c r="P868" s="15" t="s">
        <v>18</v>
      </c>
      <c r="Q868" s="15">
        <v>0.06</v>
      </c>
      <c r="R868" s="16">
        <f t="shared" si="67"/>
        <v>345.59999999999997</v>
      </c>
      <c r="S868" s="15">
        <v>0</v>
      </c>
      <c r="T868" s="15">
        <v>0</v>
      </c>
      <c r="U868" s="17">
        <f t="shared" si="68"/>
        <v>345.59999999999997</v>
      </c>
      <c r="V868" s="12" t="s">
        <v>55</v>
      </c>
      <c r="W868" s="12">
        <v>102</v>
      </c>
    </row>
    <row r="869" spans="4:23" s="12" customFormat="1" ht="30.75" customHeight="1" thickTop="1" thickBot="1" x14ac:dyDescent="0.35">
      <c r="D869" s="10"/>
      <c r="G869" s="13">
        <f t="shared" si="69"/>
        <v>868</v>
      </c>
      <c r="H869" s="18">
        <v>45912</v>
      </c>
      <c r="I869" s="15" t="s">
        <v>25</v>
      </c>
      <c r="J869" s="15">
        <v>171134.26</v>
      </c>
      <c r="K869" s="15">
        <v>713</v>
      </c>
      <c r="L869" s="15">
        <v>135589.67000000001</v>
      </c>
      <c r="M869" s="16">
        <f t="shared" si="65"/>
        <v>190.16784011220199</v>
      </c>
      <c r="N869" s="15">
        <v>0</v>
      </c>
      <c r="O869" s="16">
        <f t="shared" si="66"/>
        <v>171134.26</v>
      </c>
      <c r="P869" s="15" t="s">
        <v>26</v>
      </c>
      <c r="Q869" s="15">
        <v>0.02</v>
      </c>
      <c r="R869" s="16">
        <f t="shared" si="67"/>
        <v>3422.6852000000003</v>
      </c>
      <c r="S869" s="15">
        <v>0</v>
      </c>
      <c r="T869" s="15">
        <v>0</v>
      </c>
      <c r="U869" s="17">
        <f t="shared" si="68"/>
        <v>3422.6852000000003</v>
      </c>
      <c r="V869" s="12" t="s">
        <v>55</v>
      </c>
      <c r="W869" s="12">
        <v>102</v>
      </c>
    </row>
    <row r="870" spans="4:23" s="12" customFormat="1" ht="30.75" customHeight="1" thickTop="1" thickBot="1" x14ac:dyDescent="0.35">
      <c r="D870" s="10"/>
      <c r="G870" s="13">
        <f t="shared" si="69"/>
        <v>869</v>
      </c>
      <c r="H870" s="18">
        <v>45912</v>
      </c>
      <c r="I870" s="15" t="s">
        <v>56</v>
      </c>
      <c r="J870" s="15">
        <v>15200</v>
      </c>
      <c r="K870" s="15">
        <v>100</v>
      </c>
      <c r="L870" s="15">
        <v>11886.4</v>
      </c>
      <c r="M870" s="16">
        <f t="shared" si="65"/>
        <v>118.86399999999999</v>
      </c>
      <c r="N870" s="15">
        <v>0</v>
      </c>
      <c r="O870" s="16">
        <f t="shared" si="66"/>
        <v>15200</v>
      </c>
      <c r="P870" s="15" t="s">
        <v>26</v>
      </c>
      <c r="Q870" s="15">
        <v>0.02</v>
      </c>
      <c r="R870" s="16">
        <f t="shared" si="67"/>
        <v>304</v>
      </c>
      <c r="S870" s="15">
        <v>0</v>
      </c>
      <c r="T870" s="15">
        <v>0</v>
      </c>
      <c r="U870" s="17">
        <f t="shared" si="68"/>
        <v>304</v>
      </c>
      <c r="V870" s="12" t="s">
        <v>55</v>
      </c>
      <c r="W870" s="12">
        <v>102</v>
      </c>
    </row>
    <row r="871" spans="4:23" s="12" customFormat="1" ht="30.75" customHeight="1" thickTop="1" thickBot="1" x14ac:dyDescent="0.35">
      <c r="D871" s="10"/>
      <c r="G871" s="13">
        <f t="shared" si="69"/>
        <v>870</v>
      </c>
      <c r="H871" s="18">
        <v>45912</v>
      </c>
      <c r="I871" s="15" t="s">
        <v>28</v>
      </c>
      <c r="J871" s="15">
        <v>131287.5</v>
      </c>
      <c r="K871" s="15">
        <v>250</v>
      </c>
      <c r="L871" s="15">
        <v>128005.31</v>
      </c>
      <c r="M871" s="16">
        <f t="shared" si="65"/>
        <v>512.02124000000003</v>
      </c>
      <c r="N871" s="15">
        <v>0</v>
      </c>
      <c r="O871" s="16">
        <f t="shared" si="66"/>
        <v>131287.5</v>
      </c>
      <c r="P871" s="15" t="s">
        <v>29</v>
      </c>
      <c r="Q871" s="15">
        <v>0.02</v>
      </c>
      <c r="R871" s="16">
        <f t="shared" si="67"/>
        <v>2625.75</v>
      </c>
      <c r="S871" s="15">
        <v>0</v>
      </c>
      <c r="T871" s="15">
        <v>0</v>
      </c>
      <c r="U871" s="17">
        <f t="shared" si="68"/>
        <v>2625.75</v>
      </c>
      <c r="V871" s="12" t="s">
        <v>55</v>
      </c>
      <c r="W871" s="12">
        <v>102</v>
      </c>
    </row>
    <row r="872" spans="4:23" s="12" customFormat="1" ht="30.75" customHeight="1" thickTop="1" thickBot="1" x14ac:dyDescent="0.35">
      <c r="D872" s="10"/>
      <c r="G872" s="13">
        <f t="shared" si="69"/>
        <v>871</v>
      </c>
      <c r="H872" s="18">
        <v>45912</v>
      </c>
      <c r="I872" s="15" t="s">
        <v>57</v>
      </c>
      <c r="J872" s="15">
        <v>10851.25</v>
      </c>
      <c r="K872" s="15">
        <v>25</v>
      </c>
      <c r="L872" s="15">
        <v>10742.74</v>
      </c>
      <c r="M872" s="16">
        <f t="shared" si="65"/>
        <v>429.70959999999997</v>
      </c>
      <c r="N872" s="15">
        <v>0</v>
      </c>
      <c r="O872" s="16">
        <f t="shared" si="66"/>
        <v>10851.25</v>
      </c>
      <c r="P872" s="15" t="s">
        <v>29</v>
      </c>
      <c r="Q872" s="15">
        <v>0.02</v>
      </c>
      <c r="R872" s="16">
        <f t="shared" si="67"/>
        <v>217.02500000000001</v>
      </c>
      <c r="S872" s="15">
        <v>0</v>
      </c>
      <c r="T872" s="15">
        <v>0</v>
      </c>
      <c r="U872" s="17">
        <f t="shared" si="68"/>
        <v>217.02500000000001</v>
      </c>
      <c r="V872" s="12" t="s">
        <v>55</v>
      </c>
      <c r="W872" s="12">
        <v>102</v>
      </c>
    </row>
    <row r="873" spans="4:23" s="12" customFormat="1" ht="30.75" customHeight="1" thickTop="1" thickBot="1" x14ac:dyDescent="0.35">
      <c r="D873" s="10"/>
      <c r="G873" s="13">
        <f t="shared" si="69"/>
        <v>872</v>
      </c>
      <c r="H873" s="18">
        <v>45912</v>
      </c>
      <c r="I873" s="15" t="s">
        <v>30</v>
      </c>
      <c r="J873" s="15">
        <v>56841.75</v>
      </c>
      <c r="K873" s="15">
        <v>185</v>
      </c>
      <c r="L873" s="15">
        <v>39516.04</v>
      </c>
      <c r="M873" s="16">
        <f t="shared" si="65"/>
        <v>213.60021621621621</v>
      </c>
      <c r="N873" s="15">
        <v>0</v>
      </c>
      <c r="O873" s="16">
        <f t="shared" si="66"/>
        <v>56841.75</v>
      </c>
      <c r="P873" s="15" t="s">
        <v>18</v>
      </c>
      <c r="Q873" s="15">
        <v>0.06</v>
      </c>
      <c r="R873" s="16">
        <f t="shared" si="67"/>
        <v>3410.5049999999997</v>
      </c>
      <c r="S873" s="15">
        <v>0</v>
      </c>
      <c r="T873" s="15">
        <v>0</v>
      </c>
      <c r="U873" s="17">
        <f t="shared" si="68"/>
        <v>3410.5049999999997</v>
      </c>
      <c r="V873" s="12" t="s">
        <v>55</v>
      </c>
      <c r="W873" s="12">
        <v>103</v>
      </c>
    </row>
    <row r="874" spans="4:23" s="12" customFormat="1" ht="30.75" customHeight="1" thickTop="1" thickBot="1" x14ac:dyDescent="0.35">
      <c r="D874" s="10"/>
      <c r="G874" s="13">
        <f t="shared" si="69"/>
        <v>873</v>
      </c>
      <c r="H874" s="18">
        <v>45912</v>
      </c>
      <c r="I874" s="15" t="s">
        <v>17</v>
      </c>
      <c r="J874" s="15">
        <v>122900</v>
      </c>
      <c r="K874" s="15">
        <v>400</v>
      </c>
      <c r="L874" s="15">
        <v>78656</v>
      </c>
      <c r="M874" s="16">
        <f t="shared" si="65"/>
        <v>196.64</v>
      </c>
      <c r="N874" s="15">
        <v>0</v>
      </c>
      <c r="O874" s="16">
        <f t="shared" si="66"/>
        <v>122900</v>
      </c>
      <c r="P874" s="15" t="s">
        <v>18</v>
      </c>
      <c r="Q874" s="15">
        <v>0.06</v>
      </c>
      <c r="R874" s="16">
        <f t="shared" si="67"/>
        <v>7374</v>
      </c>
      <c r="S874" s="15">
        <v>0</v>
      </c>
      <c r="T874" s="15">
        <v>0</v>
      </c>
      <c r="U874" s="17">
        <f t="shared" si="68"/>
        <v>7374</v>
      </c>
      <c r="V874" s="12" t="s">
        <v>55</v>
      </c>
      <c r="W874" s="12">
        <v>103</v>
      </c>
    </row>
    <row r="875" spans="4:23" s="12" customFormat="1" ht="30.75" customHeight="1" thickTop="1" thickBot="1" x14ac:dyDescent="0.35">
      <c r="D875" s="10"/>
      <c r="G875" s="13">
        <f t="shared" si="69"/>
        <v>874</v>
      </c>
      <c r="H875" s="18">
        <v>45912</v>
      </c>
      <c r="I875" s="15" t="s">
        <v>23</v>
      </c>
      <c r="J875" s="15">
        <v>29760</v>
      </c>
      <c r="K875" s="15">
        <v>155</v>
      </c>
      <c r="L875" s="15">
        <v>27974.400000000001</v>
      </c>
      <c r="M875" s="16">
        <f t="shared" si="65"/>
        <v>180.48000000000002</v>
      </c>
      <c r="N875" s="15">
        <v>0</v>
      </c>
      <c r="O875" s="16">
        <f t="shared" si="66"/>
        <v>29760</v>
      </c>
      <c r="P875" s="15" t="s">
        <v>18</v>
      </c>
      <c r="Q875" s="15">
        <v>0.06</v>
      </c>
      <c r="R875" s="16">
        <f t="shared" si="67"/>
        <v>1785.6</v>
      </c>
      <c r="S875" s="15">
        <v>0</v>
      </c>
      <c r="T875" s="15">
        <v>0</v>
      </c>
      <c r="U875" s="17">
        <f t="shared" si="68"/>
        <v>1785.6</v>
      </c>
      <c r="V875" s="12" t="s">
        <v>55</v>
      </c>
      <c r="W875" s="12">
        <v>103</v>
      </c>
    </row>
    <row r="876" spans="4:23" s="12" customFormat="1" ht="30.75" customHeight="1" thickTop="1" thickBot="1" x14ac:dyDescent="0.35">
      <c r="D876" s="10"/>
      <c r="G876" s="13">
        <f t="shared" si="69"/>
        <v>875</v>
      </c>
      <c r="H876" s="18">
        <v>45912</v>
      </c>
      <c r="I876" s="15" t="s">
        <v>24</v>
      </c>
      <c r="J876" s="15">
        <v>6500.8</v>
      </c>
      <c r="K876" s="15">
        <v>20</v>
      </c>
      <c r="L876" s="15">
        <v>6110.75</v>
      </c>
      <c r="M876" s="16">
        <f t="shared" si="65"/>
        <v>305.53750000000002</v>
      </c>
      <c r="N876" s="15">
        <v>0</v>
      </c>
      <c r="O876" s="16">
        <f t="shared" si="66"/>
        <v>6500.8</v>
      </c>
      <c r="P876" s="15" t="s">
        <v>18</v>
      </c>
      <c r="Q876" s="15">
        <v>0.06</v>
      </c>
      <c r="R876" s="16">
        <f t="shared" si="67"/>
        <v>390.048</v>
      </c>
      <c r="S876" s="15">
        <v>0</v>
      </c>
      <c r="T876" s="15">
        <v>0</v>
      </c>
      <c r="U876" s="17">
        <f t="shared" si="68"/>
        <v>390.048</v>
      </c>
      <c r="V876" s="12" t="s">
        <v>55</v>
      </c>
      <c r="W876" s="12">
        <v>103</v>
      </c>
    </row>
    <row r="877" spans="4:23" s="12" customFormat="1" ht="30.75" customHeight="1" thickTop="1" thickBot="1" x14ac:dyDescent="0.35">
      <c r="D877" s="10"/>
      <c r="G877" s="13">
        <f t="shared" si="69"/>
        <v>876</v>
      </c>
      <c r="H877" s="18">
        <v>45912</v>
      </c>
      <c r="I877" s="15" t="s">
        <v>31</v>
      </c>
      <c r="J877" s="15">
        <v>5760</v>
      </c>
      <c r="K877" s="15">
        <v>30</v>
      </c>
      <c r="L877" s="15">
        <v>5414.4</v>
      </c>
      <c r="M877" s="16">
        <f t="shared" si="65"/>
        <v>180.48</v>
      </c>
      <c r="N877" s="15">
        <v>0</v>
      </c>
      <c r="O877" s="16">
        <f t="shared" si="66"/>
        <v>5760</v>
      </c>
      <c r="P877" s="15" t="s">
        <v>18</v>
      </c>
      <c r="Q877" s="15">
        <v>0.06</v>
      </c>
      <c r="R877" s="16">
        <f t="shared" si="67"/>
        <v>345.59999999999997</v>
      </c>
      <c r="S877" s="15">
        <v>0</v>
      </c>
      <c r="T877" s="15">
        <v>0</v>
      </c>
      <c r="U877" s="17">
        <f t="shared" si="68"/>
        <v>345.59999999999997</v>
      </c>
      <c r="V877" s="12" t="s">
        <v>55</v>
      </c>
      <c r="W877" s="12">
        <v>103</v>
      </c>
    </row>
    <row r="878" spans="4:23" s="12" customFormat="1" ht="30.75" customHeight="1" thickTop="1" thickBot="1" x14ac:dyDescent="0.35">
      <c r="D878" s="10"/>
      <c r="G878" s="13">
        <f t="shared" si="69"/>
        <v>877</v>
      </c>
      <c r="H878" s="18">
        <v>45915</v>
      </c>
      <c r="I878" s="15" t="s">
        <v>30</v>
      </c>
      <c r="J878" s="15">
        <v>76812.5</v>
      </c>
      <c r="K878" s="15">
        <v>250</v>
      </c>
      <c r="L878" s="15">
        <v>53400.05</v>
      </c>
      <c r="M878" s="16">
        <f t="shared" si="65"/>
        <v>213.6002</v>
      </c>
      <c r="N878" s="15">
        <v>0</v>
      </c>
      <c r="O878" s="16">
        <f t="shared" si="66"/>
        <v>76812.5</v>
      </c>
      <c r="P878" s="15" t="s">
        <v>18</v>
      </c>
      <c r="Q878" s="15">
        <v>0.06</v>
      </c>
      <c r="R878" s="16">
        <f t="shared" si="67"/>
        <v>4608.75</v>
      </c>
      <c r="S878" s="15">
        <v>0</v>
      </c>
      <c r="T878" s="15">
        <v>0</v>
      </c>
      <c r="U878" s="17">
        <f t="shared" si="68"/>
        <v>4608.75</v>
      </c>
      <c r="V878" s="12" t="s">
        <v>55</v>
      </c>
      <c r="W878" s="12">
        <v>104</v>
      </c>
    </row>
    <row r="879" spans="4:23" s="12" customFormat="1" ht="30.75" customHeight="1" thickTop="1" thickBot="1" x14ac:dyDescent="0.35">
      <c r="D879" s="10"/>
      <c r="G879" s="13">
        <f t="shared" si="69"/>
        <v>878</v>
      </c>
      <c r="H879" s="18">
        <v>45915</v>
      </c>
      <c r="I879" s="15" t="s">
        <v>17</v>
      </c>
      <c r="J879" s="15">
        <v>61450</v>
      </c>
      <c r="K879" s="15">
        <v>200</v>
      </c>
      <c r="L879" s="15">
        <v>39328</v>
      </c>
      <c r="M879" s="16">
        <f t="shared" si="65"/>
        <v>196.64</v>
      </c>
      <c r="N879" s="15">
        <v>0</v>
      </c>
      <c r="O879" s="16">
        <f t="shared" si="66"/>
        <v>61450</v>
      </c>
      <c r="P879" s="15" t="s">
        <v>18</v>
      </c>
      <c r="Q879" s="15">
        <v>0.06</v>
      </c>
      <c r="R879" s="16">
        <f t="shared" si="67"/>
        <v>3687</v>
      </c>
      <c r="S879" s="15">
        <v>0</v>
      </c>
      <c r="T879" s="15">
        <v>0</v>
      </c>
      <c r="U879" s="17">
        <f t="shared" si="68"/>
        <v>3687</v>
      </c>
      <c r="V879" s="12" t="s">
        <v>55</v>
      </c>
      <c r="W879" s="12">
        <v>104</v>
      </c>
    </row>
    <row r="880" spans="4:23" s="12" customFormat="1" ht="30.75" customHeight="1" thickTop="1" thickBot="1" x14ac:dyDescent="0.35">
      <c r="D880" s="10"/>
      <c r="G880" s="13">
        <f t="shared" si="69"/>
        <v>879</v>
      </c>
      <c r="H880" s="18">
        <v>45915</v>
      </c>
      <c r="I880" s="36" t="s">
        <v>20</v>
      </c>
      <c r="J880" s="15">
        <v>1560</v>
      </c>
      <c r="K880" s="15">
        <v>5</v>
      </c>
      <c r="L880" s="15">
        <v>1466.4</v>
      </c>
      <c r="M880" s="16">
        <f t="shared" si="65"/>
        <v>293.28000000000003</v>
      </c>
      <c r="N880" s="15">
        <v>0</v>
      </c>
      <c r="O880" s="16">
        <f t="shared" si="66"/>
        <v>1560</v>
      </c>
      <c r="P880" s="15" t="s">
        <v>18</v>
      </c>
      <c r="Q880" s="15">
        <v>0.06</v>
      </c>
      <c r="R880" s="16">
        <f t="shared" si="67"/>
        <v>93.6</v>
      </c>
      <c r="S880" s="15">
        <v>0</v>
      </c>
      <c r="T880" s="15">
        <v>0</v>
      </c>
      <c r="U880" s="17">
        <f t="shared" si="68"/>
        <v>93.6</v>
      </c>
      <c r="V880" s="12" t="s">
        <v>55</v>
      </c>
      <c r="W880" s="12">
        <v>104</v>
      </c>
    </row>
    <row r="881" spans="4:23" s="12" customFormat="1" ht="30.75" customHeight="1" thickTop="1" thickBot="1" x14ac:dyDescent="0.35">
      <c r="D881" s="10"/>
      <c r="G881" s="13">
        <f t="shared" si="69"/>
        <v>880</v>
      </c>
      <c r="H881" s="18">
        <v>45915</v>
      </c>
      <c r="I881" s="15" t="s">
        <v>21</v>
      </c>
      <c r="J881" s="15">
        <v>1236</v>
      </c>
      <c r="K881" s="15">
        <v>5</v>
      </c>
      <c r="L881" s="15">
        <v>1161.8399999999999</v>
      </c>
      <c r="M881" s="16">
        <f t="shared" si="65"/>
        <v>232.36799999999999</v>
      </c>
      <c r="N881" s="15">
        <v>0</v>
      </c>
      <c r="O881" s="16">
        <f t="shared" si="66"/>
        <v>1236</v>
      </c>
      <c r="P881" s="15" t="s">
        <v>18</v>
      </c>
      <c r="Q881" s="15">
        <v>0.06</v>
      </c>
      <c r="R881" s="16">
        <f t="shared" si="67"/>
        <v>74.16</v>
      </c>
      <c r="S881" s="15">
        <v>0</v>
      </c>
      <c r="T881" s="15">
        <v>0</v>
      </c>
      <c r="U881" s="17">
        <f t="shared" si="68"/>
        <v>74.16</v>
      </c>
      <c r="V881" s="12" t="s">
        <v>55</v>
      </c>
      <c r="W881" s="12">
        <v>104</v>
      </c>
    </row>
    <row r="882" spans="4:23" s="12" customFormat="1" ht="30.75" customHeight="1" thickTop="1" thickBot="1" x14ac:dyDescent="0.35">
      <c r="D882" s="10"/>
      <c r="G882" s="13">
        <f t="shared" si="69"/>
        <v>881</v>
      </c>
      <c r="H882" s="18">
        <v>45915</v>
      </c>
      <c r="I882" s="15" t="s">
        <v>22</v>
      </c>
      <c r="J882" s="15">
        <v>1077</v>
      </c>
      <c r="K882" s="15">
        <v>4</v>
      </c>
      <c r="L882" s="15">
        <v>1012.38</v>
      </c>
      <c r="M882" s="16">
        <f t="shared" si="65"/>
        <v>253.095</v>
      </c>
      <c r="N882" s="15">
        <v>0</v>
      </c>
      <c r="O882" s="16">
        <f t="shared" si="66"/>
        <v>1077</v>
      </c>
      <c r="P882" s="15" t="s">
        <v>18</v>
      </c>
      <c r="Q882" s="15">
        <v>0.06</v>
      </c>
      <c r="R882" s="16">
        <f t="shared" si="67"/>
        <v>64.62</v>
      </c>
      <c r="S882" s="15">
        <v>0</v>
      </c>
      <c r="T882" s="15">
        <v>0</v>
      </c>
      <c r="U882" s="17">
        <f t="shared" si="68"/>
        <v>64.62</v>
      </c>
      <c r="V882" s="12" t="s">
        <v>55</v>
      </c>
      <c r="W882" s="12">
        <v>104</v>
      </c>
    </row>
    <row r="883" spans="4:23" s="12" customFormat="1" ht="30.75" customHeight="1" thickTop="1" thickBot="1" x14ac:dyDescent="0.35">
      <c r="D883" s="10"/>
      <c r="G883" s="13">
        <f t="shared" si="69"/>
        <v>882</v>
      </c>
      <c r="H883" s="18">
        <v>45915</v>
      </c>
      <c r="I883" s="15" t="s">
        <v>23</v>
      </c>
      <c r="J883" s="15">
        <v>56640</v>
      </c>
      <c r="K883" s="15">
        <v>295</v>
      </c>
      <c r="L883" s="15">
        <v>53241.599999999999</v>
      </c>
      <c r="M883" s="16">
        <f t="shared" si="65"/>
        <v>180.48</v>
      </c>
      <c r="N883" s="15">
        <v>0</v>
      </c>
      <c r="O883" s="16">
        <f t="shared" si="66"/>
        <v>56640</v>
      </c>
      <c r="P883" s="15" t="s">
        <v>18</v>
      </c>
      <c r="Q883" s="15">
        <v>0.06</v>
      </c>
      <c r="R883" s="16">
        <f t="shared" si="67"/>
        <v>3398.4</v>
      </c>
      <c r="S883" s="15">
        <v>0</v>
      </c>
      <c r="T883" s="15">
        <v>0</v>
      </c>
      <c r="U883" s="17">
        <f t="shared" si="68"/>
        <v>3398.4</v>
      </c>
      <c r="V883" s="12" t="s">
        <v>55</v>
      </c>
      <c r="W883" s="12">
        <v>104</v>
      </c>
    </row>
    <row r="884" spans="4:23" s="12" customFormat="1" ht="30.75" customHeight="1" thickTop="1" thickBot="1" x14ac:dyDescent="0.35">
      <c r="D884" s="10"/>
      <c r="G884" s="13">
        <f t="shared" si="69"/>
        <v>883</v>
      </c>
      <c r="H884" s="18">
        <v>45915</v>
      </c>
      <c r="I884" s="15" t="s">
        <v>31</v>
      </c>
      <c r="J884" s="15">
        <v>7680</v>
      </c>
      <c r="K884" s="15">
        <v>40</v>
      </c>
      <c r="L884" s="15">
        <v>7219.2</v>
      </c>
      <c r="M884" s="16">
        <f t="shared" si="65"/>
        <v>180.48</v>
      </c>
      <c r="N884" s="15">
        <v>0</v>
      </c>
      <c r="O884" s="16">
        <f t="shared" si="66"/>
        <v>7680</v>
      </c>
      <c r="P884" s="15" t="s">
        <v>18</v>
      </c>
      <c r="Q884" s="15">
        <v>0.06</v>
      </c>
      <c r="R884" s="16">
        <f t="shared" si="67"/>
        <v>460.79999999999995</v>
      </c>
      <c r="S884" s="15">
        <v>0</v>
      </c>
      <c r="T884" s="15">
        <v>0</v>
      </c>
      <c r="U884" s="17">
        <f t="shared" si="68"/>
        <v>460.79999999999995</v>
      </c>
      <c r="V884" s="12" t="s">
        <v>55</v>
      </c>
      <c r="W884" s="12">
        <v>104</v>
      </c>
    </row>
    <row r="885" spans="4:23" s="12" customFormat="1" ht="30.75" customHeight="1" thickTop="1" thickBot="1" x14ac:dyDescent="0.35">
      <c r="D885" s="10"/>
      <c r="G885" s="13">
        <f t="shared" si="69"/>
        <v>884</v>
      </c>
      <c r="H885" s="18">
        <v>45916</v>
      </c>
      <c r="I885" s="15" t="s">
        <v>51</v>
      </c>
      <c r="J885" s="15">
        <v>3360</v>
      </c>
      <c r="K885" s="15">
        <v>12</v>
      </c>
      <c r="L885" s="15">
        <v>3192</v>
      </c>
      <c r="M885" s="16">
        <f t="shared" si="65"/>
        <v>266</v>
      </c>
      <c r="N885" s="15">
        <v>0</v>
      </c>
      <c r="O885" s="16">
        <f t="shared" si="66"/>
        <v>3360</v>
      </c>
      <c r="P885" s="15" t="s">
        <v>33</v>
      </c>
      <c r="Q885" s="15">
        <v>0.01</v>
      </c>
      <c r="R885" s="16">
        <f t="shared" si="67"/>
        <v>33.6</v>
      </c>
      <c r="S885" s="15">
        <v>0</v>
      </c>
      <c r="T885" s="15">
        <v>0</v>
      </c>
      <c r="U885" s="17">
        <f t="shared" si="68"/>
        <v>33.6</v>
      </c>
      <c r="V885" s="12" t="s">
        <v>55</v>
      </c>
      <c r="W885" s="12">
        <v>105</v>
      </c>
    </row>
    <row r="886" spans="4:23" s="12" customFormat="1" ht="30.75" customHeight="1" thickTop="1" thickBot="1" x14ac:dyDescent="0.35">
      <c r="D886" s="10"/>
      <c r="G886" s="13">
        <f t="shared" si="69"/>
        <v>885</v>
      </c>
      <c r="H886" s="18">
        <v>45916</v>
      </c>
      <c r="I886" s="15" t="s">
        <v>25</v>
      </c>
      <c r="J886" s="15">
        <v>60005</v>
      </c>
      <c r="K886" s="15">
        <v>250</v>
      </c>
      <c r="L886" s="15">
        <v>47541.96</v>
      </c>
      <c r="M886" s="16">
        <f t="shared" si="65"/>
        <v>190.16783999999998</v>
      </c>
      <c r="N886" s="15">
        <v>0</v>
      </c>
      <c r="O886" s="16">
        <f t="shared" si="66"/>
        <v>60005</v>
      </c>
      <c r="P886" s="15" t="s">
        <v>26</v>
      </c>
      <c r="Q886" s="15">
        <v>0.02</v>
      </c>
      <c r="R886" s="16">
        <f t="shared" si="67"/>
        <v>1200.1000000000001</v>
      </c>
      <c r="S886" s="15">
        <v>0</v>
      </c>
      <c r="T886" s="15">
        <v>0</v>
      </c>
      <c r="U886" s="17">
        <f t="shared" si="68"/>
        <v>1200.1000000000001</v>
      </c>
      <c r="V886" s="12" t="s">
        <v>55</v>
      </c>
      <c r="W886" s="12">
        <v>105</v>
      </c>
    </row>
    <row r="887" spans="4:23" s="12" customFormat="1" ht="30.75" customHeight="1" thickTop="1" thickBot="1" x14ac:dyDescent="0.35">
      <c r="D887" s="10"/>
      <c r="G887" s="13">
        <f t="shared" si="69"/>
        <v>886</v>
      </c>
      <c r="H887" s="18">
        <v>45916</v>
      </c>
      <c r="I887" s="15" t="s">
        <v>41</v>
      </c>
      <c r="J887" s="15">
        <v>67254</v>
      </c>
      <c r="K887" s="15">
        <v>500</v>
      </c>
      <c r="L887" s="15">
        <v>55181.91</v>
      </c>
      <c r="M887" s="16">
        <f t="shared" si="65"/>
        <v>110.36382</v>
      </c>
      <c r="N887" s="15">
        <v>0</v>
      </c>
      <c r="O887" s="16">
        <f t="shared" si="66"/>
        <v>67254</v>
      </c>
      <c r="P887" s="15" t="s">
        <v>26</v>
      </c>
      <c r="Q887" s="15">
        <v>0.02</v>
      </c>
      <c r="R887" s="16">
        <f t="shared" si="67"/>
        <v>1345.08</v>
      </c>
      <c r="S887" s="15">
        <v>0</v>
      </c>
      <c r="T887" s="15">
        <v>0</v>
      </c>
      <c r="U887" s="17">
        <f t="shared" si="68"/>
        <v>1345.08</v>
      </c>
      <c r="V887" s="12" t="s">
        <v>55</v>
      </c>
      <c r="W887" s="12">
        <v>105</v>
      </c>
    </row>
    <row r="888" spans="4:23" s="12" customFormat="1" ht="30.75" customHeight="1" thickTop="1" thickBot="1" x14ac:dyDescent="0.35">
      <c r="D888" s="10"/>
      <c r="G888" s="13">
        <f t="shared" si="69"/>
        <v>887</v>
      </c>
      <c r="H888" s="18">
        <v>45916</v>
      </c>
      <c r="I888" s="15" t="s">
        <v>37</v>
      </c>
      <c r="J888" s="15">
        <v>63018</v>
      </c>
      <c r="K888" s="15">
        <v>120</v>
      </c>
      <c r="L888" s="15">
        <v>61442.55</v>
      </c>
      <c r="M888" s="16">
        <f t="shared" si="65"/>
        <v>512.02125000000001</v>
      </c>
      <c r="N888" s="15">
        <v>0</v>
      </c>
      <c r="O888" s="16">
        <f t="shared" si="66"/>
        <v>63018</v>
      </c>
      <c r="P888" s="15" t="s">
        <v>29</v>
      </c>
      <c r="Q888" s="15">
        <v>0.02</v>
      </c>
      <c r="R888" s="16">
        <f t="shared" si="67"/>
        <v>1260.3600000000001</v>
      </c>
      <c r="S888" s="15">
        <v>0</v>
      </c>
      <c r="T888" s="15">
        <v>0</v>
      </c>
      <c r="U888" s="17">
        <f t="shared" si="68"/>
        <v>1260.3600000000001</v>
      </c>
      <c r="V888" s="12" t="s">
        <v>55</v>
      </c>
      <c r="W888" s="12">
        <v>105</v>
      </c>
    </row>
    <row r="889" spans="4:23" s="12" customFormat="1" ht="30.75" customHeight="1" thickTop="1" thickBot="1" x14ac:dyDescent="0.35">
      <c r="D889" s="10"/>
      <c r="G889" s="13">
        <f t="shared" si="69"/>
        <v>888</v>
      </c>
      <c r="H889" s="18">
        <v>45916</v>
      </c>
      <c r="I889" s="15" t="s">
        <v>28</v>
      </c>
      <c r="J889" s="15">
        <v>15754.5</v>
      </c>
      <c r="K889" s="15">
        <v>30</v>
      </c>
      <c r="L889" s="15">
        <v>15360.64</v>
      </c>
      <c r="M889" s="16">
        <f t="shared" si="65"/>
        <v>512.02133333333336</v>
      </c>
      <c r="N889" s="15">
        <v>0</v>
      </c>
      <c r="O889" s="16">
        <f t="shared" si="66"/>
        <v>15754.5</v>
      </c>
      <c r="P889" s="15" t="s">
        <v>29</v>
      </c>
      <c r="Q889" s="15">
        <v>0.02</v>
      </c>
      <c r="R889" s="16">
        <f t="shared" si="67"/>
        <v>315.09000000000003</v>
      </c>
      <c r="S889" s="15">
        <v>0</v>
      </c>
      <c r="T889" s="15">
        <v>0</v>
      </c>
      <c r="U889" s="17">
        <f t="shared" si="68"/>
        <v>315.09000000000003</v>
      </c>
      <c r="V889" s="12" t="s">
        <v>55</v>
      </c>
      <c r="W889" s="12">
        <v>105</v>
      </c>
    </row>
    <row r="890" spans="4:23" s="12" customFormat="1" ht="30.75" customHeight="1" thickTop="1" thickBot="1" x14ac:dyDescent="0.35">
      <c r="D890" s="10"/>
      <c r="G890" s="13">
        <f t="shared" si="69"/>
        <v>889</v>
      </c>
      <c r="H890" s="18">
        <v>45916</v>
      </c>
      <c r="I890" s="15" t="s">
        <v>57</v>
      </c>
      <c r="J890" s="15">
        <v>21702.5</v>
      </c>
      <c r="K890" s="15">
        <v>50</v>
      </c>
      <c r="L890" s="15">
        <v>21485.48</v>
      </c>
      <c r="M890" s="16">
        <f t="shared" si="65"/>
        <v>429.70959999999997</v>
      </c>
      <c r="N890" s="15">
        <v>0</v>
      </c>
      <c r="O890" s="16">
        <f t="shared" si="66"/>
        <v>21702.5</v>
      </c>
      <c r="P890" s="15" t="s">
        <v>29</v>
      </c>
      <c r="Q890" s="15">
        <v>0.02</v>
      </c>
      <c r="R890" s="16">
        <f t="shared" si="67"/>
        <v>434.05</v>
      </c>
      <c r="S890" s="15">
        <v>0</v>
      </c>
      <c r="T890" s="15">
        <v>0</v>
      </c>
      <c r="U890" s="17">
        <f t="shared" si="68"/>
        <v>434.05</v>
      </c>
      <c r="V890" s="12" t="s">
        <v>55</v>
      </c>
      <c r="W890" s="12">
        <v>105</v>
      </c>
    </row>
    <row r="891" spans="4:23" s="12" customFormat="1" ht="30.75" customHeight="1" thickTop="1" thickBot="1" x14ac:dyDescent="0.35">
      <c r="D891" s="10"/>
      <c r="G891" s="13">
        <f t="shared" si="69"/>
        <v>890</v>
      </c>
      <c r="H891" s="18">
        <v>45916</v>
      </c>
      <c r="I891" s="15" t="s">
        <v>30</v>
      </c>
      <c r="J891" s="15">
        <v>61450</v>
      </c>
      <c r="K891" s="15">
        <v>200</v>
      </c>
      <c r="L891" s="15">
        <v>42720.04</v>
      </c>
      <c r="M891" s="16">
        <f t="shared" si="65"/>
        <v>213.6002</v>
      </c>
      <c r="N891" s="15">
        <v>0</v>
      </c>
      <c r="O891" s="16">
        <f t="shared" si="66"/>
        <v>61450</v>
      </c>
      <c r="P891" s="15" t="s">
        <v>18</v>
      </c>
      <c r="Q891" s="15">
        <v>0.06</v>
      </c>
      <c r="R891" s="16">
        <f t="shared" si="67"/>
        <v>3687</v>
      </c>
      <c r="S891" s="15">
        <v>0</v>
      </c>
      <c r="T891" s="15">
        <v>0</v>
      </c>
      <c r="U891" s="17">
        <f t="shared" si="68"/>
        <v>3687</v>
      </c>
      <c r="V891" s="12" t="s">
        <v>55</v>
      </c>
      <c r="W891" s="12">
        <v>105</v>
      </c>
    </row>
    <row r="892" spans="4:23" s="12" customFormat="1" ht="30.75" customHeight="1" thickTop="1" thickBot="1" x14ac:dyDescent="0.35">
      <c r="D892" s="10"/>
      <c r="G892" s="13">
        <f t="shared" si="69"/>
        <v>891</v>
      </c>
      <c r="H892" s="18">
        <v>45916</v>
      </c>
      <c r="I892" s="15" t="s">
        <v>17</v>
      </c>
      <c r="J892" s="15">
        <v>46087.5</v>
      </c>
      <c r="K892" s="15">
        <v>150</v>
      </c>
      <c r="L892" s="15">
        <v>29496</v>
      </c>
      <c r="M892" s="16">
        <f t="shared" si="65"/>
        <v>196.64</v>
      </c>
      <c r="N892" s="15">
        <v>0</v>
      </c>
      <c r="O892" s="16">
        <f t="shared" si="66"/>
        <v>46087.5</v>
      </c>
      <c r="P892" s="15" t="s">
        <v>18</v>
      </c>
      <c r="Q892" s="15">
        <v>0.06</v>
      </c>
      <c r="R892" s="16">
        <f t="shared" si="67"/>
        <v>2765.25</v>
      </c>
      <c r="S892" s="15">
        <v>0</v>
      </c>
      <c r="T892" s="15">
        <v>0</v>
      </c>
      <c r="U892" s="17">
        <f t="shared" si="68"/>
        <v>2765.25</v>
      </c>
      <c r="V892" s="12" t="s">
        <v>55</v>
      </c>
      <c r="W892" s="12">
        <v>105</v>
      </c>
    </row>
    <row r="893" spans="4:23" s="12" customFormat="1" ht="30.75" customHeight="1" thickTop="1" thickBot="1" x14ac:dyDescent="0.35">
      <c r="D893" s="10"/>
      <c r="G893" s="13">
        <f t="shared" si="69"/>
        <v>892</v>
      </c>
      <c r="H893" s="18">
        <v>45916</v>
      </c>
      <c r="I893" s="36" t="s">
        <v>20</v>
      </c>
      <c r="J893" s="15">
        <v>1560</v>
      </c>
      <c r="K893" s="15">
        <v>5</v>
      </c>
      <c r="L893" s="15">
        <v>1466.4</v>
      </c>
      <c r="M893" s="16">
        <f t="shared" si="65"/>
        <v>293.28000000000003</v>
      </c>
      <c r="N893" s="15">
        <v>0</v>
      </c>
      <c r="O893" s="16">
        <f t="shared" si="66"/>
        <v>1560</v>
      </c>
      <c r="P893" s="15" t="s">
        <v>18</v>
      </c>
      <c r="Q893" s="15">
        <v>0.06</v>
      </c>
      <c r="R893" s="16">
        <f t="shared" si="67"/>
        <v>93.6</v>
      </c>
      <c r="S893" s="15">
        <v>0</v>
      </c>
      <c r="T893" s="15">
        <v>0</v>
      </c>
      <c r="U893" s="17">
        <f t="shared" si="68"/>
        <v>93.6</v>
      </c>
      <c r="V893" s="12" t="s">
        <v>55</v>
      </c>
      <c r="W893" s="12">
        <v>105</v>
      </c>
    </row>
    <row r="894" spans="4:23" s="12" customFormat="1" ht="30.75" customHeight="1" thickTop="1" thickBot="1" x14ac:dyDescent="0.35">
      <c r="D894" s="10"/>
      <c r="G894" s="13">
        <f t="shared" si="69"/>
        <v>893</v>
      </c>
      <c r="H894" s="18">
        <v>45916</v>
      </c>
      <c r="I894" s="15" t="s">
        <v>21</v>
      </c>
      <c r="J894" s="15">
        <v>2472</v>
      </c>
      <c r="K894" s="15">
        <v>10</v>
      </c>
      <c r="L894" s="15">
        <v>2323.6799999999998</v>
      </c>
      <c r="M894" s="16">
        <f t="shared" si="65"/>
        <v>232.36799999999999</v>
      </c>
      <c r="N894" s="15">
        <v>0</v>
      </c>
      <c r="O894" s="16">
        <f t="shared" si="66"/>
        <v>2472</v>
      </c>
      <c r="P894" s="15" t="s">
        <v>18</v>
      </c>
      <c r="Q894" s="15">
        <v>0.06</v>
      </c>
      <c r="R894" s="16">
        <f t="shared" si="67"/>
        <v>148.32</v>
      </c>
      <c r="S894" s="15">
        <v>0</v>
      </c>
      <c r="T894" s="15">
        <v>0</v>
      </c>
      <c r="U894" s="17">
        <f t="shared" si="68"/>
        <v>148.32</v>
      </c>
      <c r="V894" s="12" t="s">
        <v>55</v>
      </c>
      <c r="W894" s="12">
        <v>105</v>
      </c>
    </row>
    <row r="895" spans="4:23" s="12" customFormat="1" ht="30.75" customHeight="1" thickTop="1" thickBot="1" x14ac:dyDescent="0.35">
      <c r="D895" s="10"/>
      <c r="G895" s="13">
        <f t="shared" si="69"/>
        <v>894</v>
      </c>
      <c r="H895" s="18">
        <v>45916</v>
      </c>
      <c r="I895" s="15" t="s">
        <v>22</v>
      </c>
      <c r="J895" s="15">
        <v>1346.25</v>
      </c>
      <c r="K895" s="15">
        <v>5</v>
      </c>
      <c r="L895" s="15">
        <v>1265.48</v>
      </c>
      <c r="M895" s="16">
        <f t="shared" si="65"/>
        <v>253.096</v>
      </c>
      <c r="N895" s="15">
        <v>0</v>
      </c>
      <c r="O895" s="16">
        <f t="shared" si="66"/>
        <v>1346.25</v>
      </c>
      <c r="P895" s="15" t="s">
        <v>18</v>
      </c>
      <c r="Q895" s="15">
        <v>0.06</v>
      </c>
      <c r="R895" s="16">
        <f t="shared" si="67"/>
        <v>80.774999999999991</v>
      </c>
      <c r="S895" s="15">
        <v>0</v>
      </c>
      <c r="T895" s="15">
        <v>0</v>
      </c>
      <c r="U895" s="17">
        <f t="shared" si="68"/>
        <v>80.774999999999991</v>
      </c>
      <c r="V895" s="12" t="s">
        <v>55</v>
      </c>
      <c r="W895" s="12">
        <v>105</v>
      </c>
    </row>
    <row r="896" spans="4:23" s="12" customFormat="1" ht="30.75" customHeight="1" thickTop="1" thickBot="1" x14ac:dyDescent="0.35">
      <c r="D896" s="10"/>
      <c r="G896" s="13">
        <f t="shared" si="69"/>
        <v>895</v>
      </c>
      <c r="H896" s="18">
        <v>45916</v>
      </c>
      <c r="I896" s="15" t="s">
        <v>23</v>
      </c>
      <c r="J896" s="15">
        <v>43200</v>
      </c>
      <c r="K896" s="15">
        <v>225</v>
      </c>
      <c r="L896" s="15">
        <v>40608</v>
      </c>
      <c r="M896" s="16">
        <f t="shared" si="65"/>
        <v>180.48</v>
      </c>
      <c r="N896" s="15">
        <v>0</v>
      </c>
      <c r="O896" s="16">
        <f t="shared" si="66"/>
        <v>43200</v>
      </c>
      <c r="P896" s="15" t="s">
        <v>18</v>
      </c>
      <c r="Q896" s="15">
        <v>0.06</v>
      </c>
      <c r="R896" s="16">
        <f t="shared" si="67"/>
        <v>2592</v>
      </c>
      <c r="S896" s="15">
        <v>0</v>
      </c>
      <c r="T896" s="15">
        <v>0</v>
      </c>
      <c r="U896" s="17">
        <f t="shared" si="68"/>
        <v>2592</v>
      </c>
      <c r="V896" s="12" t="s">
        <v>55</v>
      </c>
      <c r="W896" s="12">
        <v>105</v>
      </c>
    </row>
    <row r="897" spans="4:23" s="12" customFormat="1" ht="30.75" customHeight="1" thickTop="1" thickBot="1" x14ac:dyDescent="0.35">
      <c r="D897" s="10"/>
      <c r="G897" s="13">
        <f t="shared" si="69"/>
        <v>896</v>
      </c>
      <c r="H897" s="18">
        <v>45916</v>
      </c>
      <c r="I897" s="15" t="s">
        <v>24</v>
      </c>
      <c r="J897" s="15">
        <v>8126</v>
      </c>
      <c r="K897" s="15">
        <v>25</v>
      </c>
      <c r="L897" s="15">
        <v>7638.44</v>
      </c>
      <c r="M897" s="16">
        <f t="shared" si="65"/>
        <v>305.5376</v>
      </c>
      <c r="N897" s="15">
        <v>0</v>
      </c>
      <c r="O897" s="16">
        <f t="shared" si="66"/>
        <v>8126</v>
      </c>
      <c r="P897" s="15" t="s">
        <v>18</v>
      </c>
      <c r="Q897" s="15">
        <v>0.06</v>
      </c>
      <c r="R897" s="16">
        <f t="shared" si="67"/>
        <v>487.56</v>
      </c>
      <c r="S897" s="15">
        <v>0</v>
      </c>
      <c r="T897" s="15">
        <v>0</v>
      </c>
      <c r="U897" s="17">
        <f t="shared" si="68"/>
        <v>487.56</v>
      </c>
      <c r="V897" s="12" t="s">
        <v>55</v>
      </c>
      <c r="W897" s="12">
        <v>105</v>
      </c>
    </row>
    <row r="898" spans="4:23" s="12" customFormat="1" ht="30.75" customHeight="1" thickTop="1" thickBot="1" x14ac:dyDescent="0.35">
      <c r="D898" s="10"/>
      <c r="G898" s="13">
        <f t="shared" si="69"/>
        <v>897</v>
      </c>
      <c r="H898" s="18">
        <v>45916</v>
      </c>
      <c r="I898" s="15" t="s">
        <v>31</v>
      </c>
      <c r="J898" s="15">
        <v>7680</v>
      </c>
      <c r="K898" s="15">
        <v>40</v>
      </c>
      <c r="L898" s="15">
        <v>7219.2</v>
      </c>
      <c r="M898" s="16">
        <f t="shared" ref="M898:M961" si="70">IFERROR(L898/K898,"")</f>
        <v>180.48</v>
      </c>
      <c r="N898" s="15">
        <v>0</v>
      </c>
      <c r="O898" s="16">
        <f t="shared" ref="O898:O961" si="71">J898-N898</f>
        <v>7680</v>
      </c>
      <c r="P898" s="15" t="s">
        <v>18</v>
      </c>
      <c r="Q898" s="15">
        <v>0.06</v>
      </c>
      <c r="R898" s="16">
        <f t="shared" ref="R898:R961" si="72">J898*Q898</f>
        <v>460.79999999999995</v>
      </c>
      <c r="S898" s="15">
        <v>0</v>
      </c>
      <c r="T898" s="15">
        <v>0</v>
      </c>
      <c r="U898" s="17">
        <f t="shared" ref="U898:U961" si="73">T898+S898+R898</f>
        <v>460.79999999999995</v>
      </c>
      <c r="V898" s="12" t="s">
        <v>55</v>
      </c>
      <c r="W898" s="12">
        <v>105</v>
      </c>
    </row>
    <row r="899" spans="4:23" s="12" customFormat="1" ht="30.75" customHeight="1" thickTop="1" thickBot="1" x14ac:dyDescent="0.35">
      <c r="D899" s="10"/>
      <c r="G899" s="13">
        <f t="shared" si="69"/>
        <v>898</v>
      </c>
      <c r="H899" s="18">
        <v>45916</v>
      </c>
      <c r="I899" s="15" t="s">
        <v>36</v>
      </c>
      <c r="J899" s="15">
        <v>975.12</v>
      </c>
      <c r="K899" s="15">
        <v>3</v>
      </c>
      <c r="L899" s="15">
        <v>916.61</v>
      </c>
      <c r="M899" s="16">
        <f t="shared" si="70"/>
        <v>305.53666666666669</v>
      </c>
      <c r="N899" s="15">
        <v>0</v>
      </c>
      <c r="O899" s="16">
        <f t="shared" si="71"/>
        <v>975.12</v>
      </c>
      <c r="P899" s="15" t="s">
        <v>18</v>
      </c>
      <c r="Q899" s="15">
        <v>0.06</v>
      </c>
      <c r="R899" s="16">
        <f t="shared" si="72"/>
        <v>58.507199999999997</v>
      </c>
      <c r="S899" s="15">
        <v>0</v>
      </c>
      <c r="T899" s="15">
        <v>0</v>
      </c>
      <c r="U899" s="17">
        <f t="shared" si="73"/>
        <v>58.507199999999997</v>
      </c>
      <c r="V899" s="12" t="s">
        <v>55</v>
      </c>
      <c r="W899" s="12">
        <v>105</v>
      </c>
    </row>
    <row r="900" spans="4:23" s="12" customFormat="1" ht="30.75" customHeight="1" thickTop="1" thickBot="1" x14ac:dyDescent="0.35">
      <c r="D900" s="10"/>
      <c r="G900" s="13">
        <f t="shared" ref="G900:G963" si="74">G899+1</f>
        <v>899</v>
      </c>
      <c r="H900" s="18">
        <v>45920</v>
      </c>
      <c r="I900" s="15" t="s">
        <v>30</v>
      </c>
      <c r="J900" s="15">
        <v>61450</v>
      </c>
      <c r="K900" s="15">
        <v>200</v>
      </c>
      <c r="L900" s="15">
        <v>42720.04</v>
      </c>
      <c r="M900" s="16">
        <f t="shared" si="70"/>
        <v>213.6002</v>
      </c>
      <c r="N900" s="15">
        <v>0</v>
      </c>
      <c r="O900" s="16">
        <f t="shared" si="71"/>
        <v>61450</v>
      </c>
      <c r="P900" s="15" t="s">
        <v>18</v>
      </c>
      <c r="Q900" s="15">
        <v>0.06</v>
      </c>
      <c r="R900" s="16">
        <f t="shared" si="72"/>
        <v>3687</v>
      </c>
      <c r="S900" s="15">
        <v>0</v>
      </c>
      <c r="T900" s="15">
        <v>0</v>
      </c>
      <c r="U900" s="17">
        <f t="shared" si="73"/>
        <v>3687</v>
      </c>
      <c r="V900" s="12" t="s">
        <v>55</v>
      </c>
      <c r="W900" s="12">
        <v>106</v>
      </c>
    </row>
    <row r="901" spans="4:23" s="12" customFormat="1" ht="30.75" customHeight="1" thickTop="1" thickBot="1" x14ac:dyDescent="0.35">
      <c r="D901" s="10"/>
      <c r="G901" s="13">
        <f t="shared" si="74"/>
        <v>900</v>
      </c>
      <c r="H901" s="18">
        <v>45920</v>
      </c>
      <c r="I901" s="15" t="s">
        <v>17</v>
      </c>
      <c r="J901" s="15">
        <v>153625</v>
      </c>
      <c r="K901" s="15">
        <v>500</v>
      </c>
      <c r="L901" s="15">
        <v>98320</v>
      </c>
      <c r="M901" s="16">
        <f t="shared" si="70"/>
        <v>196.64</v>
      </c>
      <c r="N901" s="15">
        <v>0</v>
      </c>
      <c r="O901" s="16">
        <f t="shared" si="71"/>
        <v>153625</v>
      </c>
      <c r="P901" s="15" t="s">
        <v>18</v>
      </c>
      <c r="Q901" s="15">
        <v>0.06</v>
      </c>
      <c r="R901" s="16">
        <f t="shared" si="72"/>
        <v>9217.5</v>
      </c>
      <c r="S901" s="15">
        <v>0</v>
      </c>
      <c r="T901" s="15">
        <v>0</v>
      </c>
      <c r="U901" s="17">
        <f t="shared" si="73"/>
        <v>9217.5</v>
      </c>
      <c r="V901" s="12" t="s">
        <v>55</v>
      </c>
      <c r="W901" s="12">
        <v>106</v>
      </c>
    </row>
    <row r="902" spans="4:23" s="12" customFormat="1" ht="30.75" customHeight="1" thickTop="1" thickBot="1" x14ac:dyDescent="0.35">
      <c r="D902" s="10"/>
      <c r="G902" s="13">
        <f t="shared" si="74"/>
        <v>901</v>
      </c>
      <c r="H902" s="18">
        <v>45920</v>
      </c>
      <c r="I902" s="36" t="s">
        <v>20</v>
      </c>
      <c r="J902" s="15">
        <v>1560</v>
      </c>
      <c r="K902" s="15">
        <v>5</v>
      </c>
      <c r="L902" s="15">
        <v>1466.4</v>
      </c>
      <c r="M902" s="16">
        <f t="shared" si="70"/>
        <v>293.28000000000003</v>
      </c>
      <c r="N902" s="15">
        <v>0</v>
      </c>
      <c r="O902" s="16">
        <f t="shared" si="71"/>
        <v>1560</v>
      </c>
      <c r="P902" s="15" t="s">
        <v>18</v>
      </c>
      <c r="Q902" s="15">
        <v>0.06</v>
      </c>
      <c r="R902" s="16">
        <f t="shared" si="72"/>
        <v>93.6</v>
      </c>
      <c r="S902" s="15">
        <v>0</v>
      </c>
      <c r="T902" s="15">
        <v>0</v>
      </c>
      <c r="U902" s="17">
        <f t="shared" si="73"/>
        <v>93.6</v>
      </c>
      <c r="V902" s="12" t="s">
        <v>55</v>
      </c>
      <c r="W902" s="12">
        <v>106</v>
      </c>
    </row>
    <row r="903" spans="4:23" s="12" customFormat="1" ht="30.75" customHeight="1" thickTop="1" thickBot="1" x14ac:dyDescent="0.35">
      <c r="D903" s="10"/>
      <c r="G903" s="13">
        <f t="shared" si="74"/>
        <v>902</v>
      </c>
      <c r="H903" s="18">
        <v>45920</v>
      </c>
      <c r="I903" s="15" t="s">
        <v>21</v>
      </c>
      <c r="J903" s="15">
        <v>2472</v>
      </c>
      <c r="K903" s="15">
        <v>10</v>
      </c>
      <c r="L903" s="15">
        <v>2323.6799999999998</v>
      </c>
      <c r="M903" s="16">
        <f t="shared" si="70"/>
        <v>232.36799999999999</v>
      </c>
      <c r="N903" s="15">
        <v>0</v>
      </c>
      <c r="O903" s="16">
        <f t="shared" si="71"/>
        <v>2472</v>
      </c>
      <c r="P903" s="15" t="s">
        <v>18</v>
      </c>
      <c r="Q903" s="15">
        <v>0.06</v>
      </c>
      <c r="R903" s="16">
        <f t="shared" si="72"/>
        <v>148.32</v>
      </c>
      <c r="S903" s="15">
        <v>0</v>
      </c>
      <c r="T903" s="15">
        <v>0</v>
      </c>
      <c r="U903" s="17">
        <f t="shared" si="73"/>
        <v>148.32</v>
      </c>
      <c r="V903" s="12" t="s">
        <v>55</v>
      </c>
      <c r="W903" s="12">
        <v>106</v>
      </c>
    </row>
    <row r="904" spans="4:23" s="12" customFormat="1" ht="30.75" customHeight="1" thickTop="1" thickBot="1" x14ac:dyDescent="0.35">
      <c r="D904" s="10"/>
      <c r="G904" s="13">
        <f t="shared" si="74"/>
        <v>903</v>
      </c>
      <c r="H904" s="18">
        <v>45920</v>
      </c>
      <c r="I904" s="15" t="s">
        <v>22</v>
      </c>
      <c r="J904" s="15">
        <v>2692.5</v>
      </c>
      <c r="K904" s="15">
        <v>10</v>
      </c>
      <c r="L904" s="15">
        <v>2530.9499999999998</v>
      </c>
      <c r="M904" s="16">
        <f t="shared" si="70"/>
        <v>253.09499999999997</v>
      </c>
      <c r="N904" s="15">
        <v>0</v>
      </c>
      <c r="O904" s="16">
        <f t="shared" si="71"/>
        <v>2692.5</v>
      </c>
      <c r="P904" s="15" t="s">
        <v>18</v>
      </c>
      <c r="Q904" s="15">
        <v>0.06</v>
      </c>
      <c r="R904" s="16">
        <f t="shared" si="72"/>
        <v>161.54999999999998</v>
      </c>
      <c r="S904" s="15">
        <v>0</v>
      </c>
      <c r="T904" s="15">
        <v>0</v>
      </c>
      <c r="U904" s="17">
        <f t="shared" si="73"/>
        <v>161.54999999999998</v>
      </c>
      <c r="V904" s="12" t="s">
        <v>55</v>
      </c>
      <c r="W904" s="12">
        <v>106</v>
      </c>
    </row>
    <row r="905" spans="4:23" s="12" customFormat="1" ht="30.75" customHeight="1" thickTop="1" thickBot="1" x14ac:dyDescent="0.35">
      <c r="D905" s="10"/>
      <c r="G905" s="13">
        <f t="shared" si="74"/>
        <v>904</v>
      </c>
      <c r="H905" s="18">
        <v>45920</v>
      </c>
      <c r="I905" s="15" t="s">
        <v>23</v>
      </c>
      <c r="J905" s="15">
        <v>42240</v>
      </c>
      <c r="K905" s="15">
        <v>220</v>
      </c>
      <c r="L905" s="15">
        <v>39705.599999999999</v>
      </c>
      <c r="M905" s="16">
        <f t="shared" si="70"/>
        <v>180.48</v>
      </c>
      <c r="N905" s="15">
        <v>0</v>
      </c>
      <c r="O905" s="16">
        <f t="shared" si="71"/>
        <v>42240</v>
      </c>
      <c r="P905" s="15" t="s">
        <v>18</v>
      </c>
      <c r="Q905" s="15">
        <v>0.06</v>
      </c>
      <c r="R905" s="16">
        <f t="shared" si="72"/>
        <v>2534.4</v>
      </c>
      <c r="S905" s="15">
        <v>0</v>
      </c>
      <c r="T905" s="15">
        <v>0</v>
      </c>
      <c r="U905" s="17">
        <f t="shared" si="73"/>
        <v>2534.4</v>
      </c>
      <c r="V905" s="12" t="s">
        <v>55</v>
      </c>
      <c r="W905" s="12">
        <v>106</v>
      </c>
    </row>
    <row r="906" spans="4:23" s="12" customFormat="1" ht="30.75" customHeight="1" thickTop="1" thickBot="1" x14ac:dyDescent="0.35">
      <c r="D906" s="10"/>
      <c r="G906" s="13">
        <f t="shared" si="74"/>
        <v>905</v>
      </c>
      <c r="H906" s="18">
        <v>45920</v>
      </c>
      <c r="I906" s="15" t="s">
        <v>24</v>
      </c>
      <c r="J906" s="15">
        <v>6500.8</v>
      </c>
      <c r="K906" s="15">
        <v>20</v>
      </c>
      <c r="L906" s="15">
        <v>6110.75</v>
      </c>
      <c r="M906" s="16">
        <f t="shared" si="70"/>
        <v>305.53750000000002</v>
      </c>
      <c r="N906" s="15">
        <v>0</v>
      </c>
      <c r="O906" s="16">
        <f t="shared" si="71"/>
        <v>6500.8</v>
      </c>
      <c r="P906" s="15" t="s">
        <v>18</v>
      </c>
      <c r="Q906" s="15">
        <v>0.06</v>
      </c>
      <c r="R906" s="16">
        <f t="shared" si="72"/>
        <v>390.048</v>
      </c>
      <c r="S906" s="15">
        <v>0</v>
      </c>
      <c r="T906" s="15">
        <v>0</v>
      </c>
      <c r="U906" s="17">
        <f t="shared" si="73"/>
        <v>390.048</v>
      </c>
      <c r="V906" s="12" t="s">
        <v>55</v>
      </c>
      <c r="W906" s="12">
        <v>106</v>
      </c>
    </row>
    <row r="907" spans="4:23" s="12" customFormat="1" ht="30.75" customHeight="1" thickTop="1" thickBot="1" x14ac:dyDescent="0.35">
      <c r="D907" s="10"/>
      <c r="G907" s="13">
        <f t="shared" si="74"/>
        <v>906</v>
      </c>
      <c r="H907" s="18">
        <v>45920</v>
      </c>
      <c r="I907" s="15" t="s">
        <v>31</v>
      </c>
      <c r="J907" s="15">
        <v>3840</v>
      </c>
      <c r="K907" s="15">
        <v>20</v>
      </c>
      <c r="L907" s="15">
        <v>3609.6</v>
      </c>
      <c r="M907" s="16">
        <f t="shared" si="70"/>
        <v>180.48</v>
      </c>
      <c r="N907" s="15">
        <v>0</v>
      </c>
      <c r="O907" s="16">
        <f t="shared" si="71"/>
        <v>3840</v>
      </c>
      <c r="P907" s="15" t="s">
        <v>18</v>
      </c>
      <c r="Q907" s="15">
        <v>0.06</v>
      </c>
      <c r="R907" s="16">
        <f t="shared" si="72"/>
        <v>230.39999999999998</v>
      </c>
      <c r="S907" s="15">
        <v>0</v>
      </c>
      <c r="T907" s="15">
        <v>0</v>
      </c>
      <c r="U907" s="17">
        <f t="shared" si="73"/>
        <v>230.39999999999998</v>
      </c>
      <c r="V907" s="12" t="s">
        <v>55</v>
      </c>
      <c r="W907" s="12">
        <v>106</v>
      </c>
    </row>
    <row r="908" spans="4:23" s="12" customFormat="1" ht="30.75" customHeight="1" thickTop="1" thickBot="1" x14ac:dyDescent="0.35">
      <c r="D908" s="10"/>
      <c r="G908" s="13">
        <f t="shared" si="74"/>
        <v>907</v>
      </c>
      <c r="H908" s="18">
        <v>45922</v>
      </c>
      <c r="I908" s="15" t="s">
        <v>32</v>
      </c>
      <c r="J908" s="15">
        <v>35640</v>
      </c>
      <c r="K908" s="15">
        <v>60</v>
      </c>
      <c r="L908" s="15">
        <v>30792.959999999999</v>
      </c>
      <c r="M908" s="16">
        <f t="shared" si="70"/>
        <v>513.21600000000001</v>
      </c>
      <c r="N908" s="15">
        <v>0</v>
      </c>
      <c r="O908" s="16">
        <f t="shared" si="71"/>
        <v>35640</v>
      </c>
      <c r="P908" s="15" t="s">
        <v>33</v>
      </c>
      <c r="Q908" s="15">
        <v>0.01</v>
      </c>
      <c r="R908" s="16">
        <f t="shared" si="72"/>
        <v>356.40000000000003</v>
      </c>
      <c r="S908" s="15">
        <v>0</v>
      </c>
      <c r="T908" s="15">
        <v>0</v>
      </c>
      <c r="U908" s="17">
        <f t="shared" si="73"/>
        <v>356.40000000000003</v>
      </c>
      <c r="V908" s="12" t="s">
        <v>55</v>
      </c>
      <c r="W908" s="12">
        <v>107</v>
      </c>
    </row>
    <row r="909" spans="4:23" s="12" customFormat="1" ht="30.75" customHeight="1" thickTop="1" thickBot="1" x14ac:dyDescent="0.35">
      <c r="D909" s="10"/>
      <c r="G909" s="13">
        <f t="shared" si="74"/>
        <v>908</v>
      </c>
      <c r="H909" s="18">
        <v>45922</v>
      </c>
      <c r="I909" s="15" t="s">
        <v>30</v>
      </c>
      <c r="J909" s="15">
        <v>76812.5</v>
      </c>
      <c r="K909" s="15">
        <v>250</v>
      </c>
      <c r="L909" s="15">
        <v>53400.05</v>
      </c>
      <c r="M909" s="16">
        <f t="shared" si="70"/>
        <v>213.6002</v>
      </c>
      <c r="N909" s="15">
        <v>0</v>
      </c>
      <c r="O909" s="16">
        <f t="shared" si="71"/>
        <v>76812.5</v>
      </c>
      <c r="P909" s="15" t="s">
        <v>18</v>
      </c>
      <c r="Q909" s="15">
        <v>0.06</v>
      </c>
      <c r="R909" s="16">
        <f t="shared" si="72"/>
        <v>4608.75</v>
      </c>
      <c r="S909" s="15">
        <v>0</v>
      </c>
      <c r="T909" s="15">
        <v>0</v>
      </c>
      <c r="U909" s="17">
        <f t="shared" si="73"/>
        <v>4608.75</v>
      </c>
      <c r="V909" s="12" t="s">
        <v>55</v>
      </c>
      <c r="W909" s="12">
        <v>107</v>
      </c>
    </row>
    <row r="910" spans="4:23" s="12" customFormat="1" ht="30.75" customHeight="1" thickTop="1" thickBot="1" x14ac:dyDescent="0.35">
      <c r="D910" s="10"/>
      <c r="G910" s="13">
        <f t="shared" si="74"/>
        <v>909</v>
      </c>
      <c r="H910" s="18">
        <v>45922</v>
      </c>
      <c r="I910" s="15" t="s">
        <v>17</v>
      </c>
      <c r="J910" s="15">
        <v>153625</v>
      </c>
      <c r="K910" s="15">
        <v>500</v>
      </c>
      <c r="L910" s="15">
        <v>98320</v>
      </c>
      <c r="M910" s="16">
        <f t="shared" si="70"/>
        <v>196.64</v>
      </c>
      <c r="N910" s="15">
        <v>0</v>
      </c>
      <c r="O910" s="16">
        <f t="shared" si="71"/>
        <v>153625</v>
      </c>
      <c r="P910" s="15" t="s">
        <v>18</v>
      </c>
      <c r="Q910" s="15">
        <v>0.06</v>
      </c>
      <c r="R910" s="16">
        <f t="shared" si="72"/>
        <v>9217.5</v>
      </c>
      <c r="S910" s="15">
        <v>0</v>
      </c>
      <c r="T910" s="15">
        <v>0</v>
      </c>
      <c r="U910" s="17">
        <f t="shared" si="73"/>
        <v>9217.5</v>
      </c>
      <c r="V910" s="12" t="s">
        <v>55</v>
      </c>
      <c r="W910" s="12">
        <v>107</v>
      </c>
    </row>
    <row r="911" spans="4:23" s="12" customFormat="1" ht="30.75" customHeight="1" thickTop="1" thickBot="1" x14ac:dyDescent="0.35">
      <c r="D911" s="10"/>
      <c r="G911" s="13">
        <f t="shared" si="74"/>
        <v>910</v>
      </c>
      <c r="H911" s="18">
        <v>45922</v>
      </c>
      <c r="I911" s="15" t="s">
        <v>23</v>
      </c>
      <c r="J911" s="15">
        <v>48000</v>
      </c>
      <c r="K911" s="15">
        <v>250</v>
      </c>
      <c r="L911" s="15">
        <v>45120</v>
      </c>
      <c r="M911" s="16">
        <f t="shared" si="70"/>
        <v>180.48</v>
      </c>
      <c r="N911" s="15">
        <v>0</v>
      </c>
      <c r="O911" s="16">
        <f t="shared" si="71"/>
        <v>48000</v>
      </c>
      <c r="P911" s="15" t="s">
        <v>18</v>
      </c>
      <c r="Q911" s="15">
        <v>0.06</v>
      </c>
      <c r="R911" s="16">
        <f t="shared" si="72"/>
        <v>2880</v>
      </c>
      <c r="S911" s="15">
        <v>0</v>
      </c>
      <c r="T911" s="15">
        <v>0</v>
      </c>
      <c r="U911" s="17">
        <f t="shared" si="73"/>
        <v>2880</v>
      </c>
      <c r="V911" s="12" t="s">
        <v>55</v>
      </c>
      <c r="W911" s="12">
        <v>107</v>
      </c>
    </row>
    <row r="912" spans="4:23" s="12" customFormat="1" ht="30.75" customHeight="1" thickTop="1" thickBot="1" x14ac:dyDescent="0.35">
      <c r="D912" s="10"/>
      <c r="G912" s="13">
        <f t="shared" si="74"/>
        <v>911</v>
      </c>
      <c r="H912" s="18">
        <v>45922</v>
      </c>
      <c r="I912" s="15" t="s">
        <v>24</v>
      </c>
      <c r="J912" s="15">
        <v>6500.8</v>
      </c>
      <c r="K912" s="15">
        <v>20</v>
      </c>
      <c r="L912" s="15">
        <v>6110.75</v>
      </c>
      <c r="M912" s="16">
        <f t="shared" si="70"/>
        <v>305.53750000000002</v>
      </c>
      <c r="N912" s="15">
        <v>0</v>
      </c>
      <c r="O912" s="16">
        <f t="shared" si="71"/>
        <v>6500.8</v>
      </c>
      <c r="P912" s="15" t="s">
        <v>18</v>
      </c>
      <c r="Q912" s="15">
        <v>0.06</v>
      </c>
      <c r="R912" s="16">
        <f t="shared" si="72"/>
        <v>390.048</v>
      </c>
      <c r="S912" s="15">
        <v>0</v>
      </c>
      <c r="T912" s="15">
        <v>0</v>
      </c>
      <c r="U912" s="17">
        <f t="shared" si="73"/>
        <v>390.048</v>
      </c>
      <c r="V912" s="12" t="s">
        <v>55</v>
      </c>
      <c r="W912" s="12">
        <v>107</v>
      </c>
    </row>
    <row r="913" spans="4:23" s="12" customFormat="1" ht="30.75" customHeight="1" thickTop="1" thickBot="1" x14ac:dyDescent="0.35">
      <c r="D913" s="10"/>
      <c r="G913" s="13">
        <f t="shared" si="74"/>
        <v>912</v>
      </c>
      <c r="H913" s="18">
        <v>45922</v>
      </c>
      <c r="I913" s="15" t="s">
        <v>31</v>
      </c>
      <c r="J913" s="15">
        <v>7680</v>
      </c>
      <c r="K913" s="15">
        <v>40</v>
      </c>
      <c r="L913" s="15">
        <v>7219.2</v>
      </c>
      <c r="M913" s="16">
        <f t="shared" si="70"/>
        <v>180.48</v>
      </c>
      <c r="N913" s="15">
        <v>0</v>
      </c>
      <c r="O913" s="16">
        <f t="shared" si="71"/>
        <v>7680</v>
      </c>
      <c r="P913" s="15" t="s">
        <v>18</v>
      </c>
      <c r="Q913" s="15">
        <v>0.06</v>
      </c>
      <c r="R913" s="16">
        <f t="shared" si="72"/>
        <v>460.79999999999995</v>
      </c>
      <c r="S913" s="15">
        <v>0</v>
      </c>
      <c r="T913" s="15">
        <v>0</v>
      </c>
      <c r="U913" s="17">
        <f t="shared" si="73"/>
        <v>460.79999999999995</v>
      </c>
      <c r="V913" s="12" t="s">
        <v>55</v>
      </c>
      <c r="W913" s="12">
        <v>107</v>
      </c>
    </row>
    <row r="914" spans="4:23" s="12" customFormat="1" ht="30.75" customHeight="1" thickTop="1" thickBot="1" x14ac:dyDescent="0.35">
      <c r="D914" s="10"/>
      <c r="G914" s="13">
        <f t="shared" si="74"/>
        <v>913</v>
      </c>
      <c r="H914" s="18">
        <v>45924</v>
      </c>
      <c r="I914" s="15" t="s">
        <v>41</v>
      </c>
      <c r="J914" s="15">
        <v>67254</v>
      </c>
      <c r="K914" s="15">
        <v>500</v>
      </c>
      <c r="L914" s="15">
        <v>55181.91</v>
      </c>
      <c r="M914" s="16">
        <f t="shared" si="70"/>
        <v>110.36382</v>
      </c>
      <c r="N914" s="15">
        <v>0</v>
      </c>
      <c r="O914" s="16">
        <f t="shared" si="71"/>
        <v>67254</v>
      </c>
      <c r="P914" s="15" t="s">
        <v>26</v>
      </c>
      <c r="Q914" s="15">
        <v>0.02</v>
      </c>
      <c r="R914" s="16">
        <f t="shared" si="72"/>
        <v>1345.08</v>
      </c>
      <c r="S914" s="15">
        <v>0</v>
      </c>
      <c r="T914" s="15">
        <v>0</v>
      </c>
      <c r="U914" s="17">
        <f t="shared" si="73"/>
        <v>1345.08</v>
      </c>
      <c r="V914" s="12" t="s">
        <v>55</v>
      </c>
      <c r="W914" s="12">
        <v>107</v>
      </c>
    </row>
    <row r="915" spans="4:23" s="12" customFormat="1" ht="30.75" customHeight="1" thickTop="1" thickBot="1" x14ac:dyDescent="0.35">
      <c r="D915" s="10"/>
      <c r="G915" s="13">
        <f t="shared" si="74"/>
        <v>914</v>
      </c>
      <c r="H915" s="18">
        <v>45924</v>
      </c>
      <c r="I915" s="15" t="s">
        <v>30</v>
      </c>
      <c r="J915" s="15">
        <v>61450</v>
      </c>
      <c r="K915" s="15">
        <v>200</v>
      </c>
      <c r="L915" s="15">
        <v>42400.5</v>
      </c>
      <c r="M915" s="16">
        <f t="shared" si="70"/>
        <v>212.0025</v>
      </c>
      <c r="N915" s="15">
        <v>0</v>
      </c>
      <c r="O915" s="16">
        <f t="shared" si="71"/>
        <v>61450</v>
      </c>
      <c r="P915" s="15" t="s">
        <v>18</v>
      </c>
      <c r="Q915" s="15">
        <v>0.06</v>
      </c>
      <c r="R915" s="16">
        <f t="shared" si="72"/>
        <v>3687</v>
      </c>
      <c r="S915" s="15">
        <v>0</v>
      </c>
      <c r="T915" s="15">
        <v>0</v>
      </c>
      <c r="U915" s="17">
        <f t="shared" si="73"/>
        <v>3687</v>
      </c>
      <c r="V915" s="12" t="s">
        <v>55</v>
      </c>
      <c r="W915" s="12">
        <v>108</v>
      </c>
    </row>
    <row r="916" spans="4:23" s="12" customFormat="1" ht="30.75" customHeight="1" thickTop="1" thickBot="1" x14ac:dyDescent="0.35">
      <c r="D916" s="10"/>
      <c r="G916" s="13">
        <f t="shared" si="74"/>
        <v>915</v>
      </c>
      <c r="H916" s="18">
        <v>45924</v>
      </c>
      <c r="I916" s="15" t="s">
        <v>17</v>
      </c>
      <c r="J916" s="15">
        <v>92175</v>
      </c>
      <c r="K916" s="15">
        <v>300</v>
      </c>
      <c r="L916" s="15">
        <v>63600.75</v>
      </c>
      <c r="M916" s="16">
        <f t="shared" si="70"/>
        <v>212.0025</v>
      </c>
      <c r="N916" s="15">
        <v>0</v>
      </c>
      <c r="O916" s="16">
        <f t="shared" si="71"/>
        <v>92175</v>
      </c>
      <c r="P916" s="15" t="s">
        <v>18</v>
      </c>
      <c r="Q916" s="15">
        <v>0.06</v>
      </c>
      <c r="R916" s="16">
        <f t="shared" si="72"/>
        <v>5530.5</v>
      </c>
      <c r="S916" s="15">
        <v>0</v>
      </c>
      <c r="T916" s="15">
        <v>0</v>
      </c>
      <c r="U916" s="17">
        <f t="shared" si="73"/>
        <v>5530.5</v>
      </c>
      <c r="V916" s="12" t="s">
        <v>55</v>
      </c>
      <c r="W916" s="12">
        <v>108</v>
      </c>
    </row>
    <row r="917" spans="4:23" s="12" customFormat="1" ht="30.75" customHeight="1" thickTop="1" thickBot="1" x14ac:dyDescent="0.35">
      <c r="D917" s="10"/>
      <c r="G917" s="13">
        <f t="shared" si="74"/>
        <v>916</v>
      </c>
      <c r="H917" s="18">
        <v>45924</v>
      </c>
      <c r="I917" s="36" t="s">
        <v>20</v>
      </c>
      <c r="J917" s="15">
        <v>1560</v>
      </c>
      <c r="K917" s="15">
        <v>5</v>
      </c>
      <c r="L917" s="15">
        <v>1466.4</v>
      </c>
      <c r="M917" s="16">
        <f t="shared" si="70"/>
        <v>293.28000000000003</v>
      </c>
      <c r="N917" s="15">
        <v>0</v>
      </c>
      <c r="O917" s="16">
        <f t="shared" si="71"/>
        <v>1560</v>
      </c>
      <c r="P917" s="15" t="s">
        <v>18</v>
      </c>
      <c r="Q917" s="15">
        <v>0.06</v>
      </c>
      <c r="R917" s="16">
        <f t="shared" si="72"/>
        <v>93.6</v>
      </c>
      <c r="S917" s="15">
        <v>0</v>
      </c>
      <c r="T917" s="15">
        <v>0</v>
      </c>
      <c r="U917" s="17">
        <f t="shared" si="73"/>
        <v>93.6</v>
      </c>
      <c r="V917" s="12" t="s">
        <v>55</v>
      </c>
      <c r="W917" s="12">
        <v>108</v>
      </c>
    </row>
    <row r="918" spans="4:23" s="12" customFormat="1" ht="30.75" customHeight="1" thickTop="1" thickBot="1" x14ac:dyDescent="0.35">
      <c r="D918" s="10"/>
      <c r="G918" s="13">
        <f t="shared" si="74"/>
        <v>917</v>
      </c>
      <c r="H918" s="18">
        <v>45924</v>
      </c>
      <c r="I918" s="15" t="s">
        <v>21</v>
      </c>
      <c r="J918" s="15">
        <v>2472</v>
      </c>
      <c r="K918" s="15">
        <v>10</v>
      </c>
      <c r="L918" s="15">
        <v>2323.6799999999998</v>
      </c>
      <c r="M918" s="16">
        <f t="shared" si="70"/>
        <v>232.36799999999999</v>
      </c>
      <c r="N918" s="15">
        <v>0</v>
      </c>
      <c r="O918" s="16">
        <f t="shared" si="71"/>
        <v>2472</v>
      </c>
      <c r="P918" s="15" t="s">
        <v>18</v>
      </c>
      <c r="Q918" s="15">
        <v>0.06</v>
      </c>
      <c r="R918" s="16">
        <f t="shared" si="72"/>
        <v>148.32</v>
      </c>
      <c r="S918" s="15">
        <v>0</v>
      </c>
      <c r="T918" s="15">
        <v>0</v>
      </c>
      <c r="U918" s="17">
        <f t="shared" si="73"/>
        <v>148.32</v>
      </c>
      <c r="V918" s="12" t="s">
        <v>55</v>
      </c>
      <c r="W918" s="12">
        <v>108</v>
      </c>
    </row>
    <row r="919" spans="4:23" s="12" customFormat="1" ht="30.75" customHeight="1" thickTop="1" thickBot="1" x14ac:dyDescent="0.35">
      <c r="D919" s="10"/>
      <c r="G919" s="13">
        <f t="shared" si="74"/>
        <v>918</v>
      </c>
      <c r="H919" s="18">
        <v>45924</v>
      </c>
      <c r="I919" s="15" t="s">
        <v>22</v>
      </c>
      <c r="J919" s="15">
        <v>2154</v>
      </c>
      <c r="K919" s="15">
        <v>8</v>
      </c>
      <c r="L919" s="15">
        <v>2024.76</v>
      </c>
      <c r="M919" s="16">
        <f t="shared" si="70"/>
        <v>253.095</v>
      </c>
      <c r="N919" s="15">
        <v>0</v>
      </c>
      <c r="O919" s="16">
        <f t="shared" si="71"/>
        <v>2154</v>
      </c>
      <c r="P919" s="15" t="s">
        <v>18</v>
      </c>
      <c r="Q919" s="15">
        <v>0.06</v>
      </c>
      <c r="R919" s="16">
        <f t="shared" si="72"/>
        <v>129.24</v>
      </c>
      <c r="S919" s="15">
        <v>0</v>
      </c>
      <c r="T919" s="15">
        <v>0</v>
      </c>
      <c r="U919" s="17">
        <f t="shared" si="73"/>
        <v>129.24</v>
      </c>
      <c r="V919" s="12" t="s">
        <v>55</v>
      </c>
      <c r="W919" s="12">
        <v>108</v>
      </c>
    </row>
    <row r="920" spans="4:23" s="12" customFormat="1" ht="30.75" customHeight="1" thickTop="1" thickBot="1" x14ac:dyDescent="0.35">
      <c r="D920" s="10"/>
      <c r="G920" s="13">
        <f t="shared" si="74"/>
        <v>919</v>
      </c>
      <c r="H920" s="18">
        <v>45924</v>
      </c>
      <c r="I920" s="15" t="s">
        <v>24</v>
      </c>
      <c r="J920" s="15">
        <v>9751.2000000000007</v>
      </c>
      <c r="K920" s="15">
        <v>30</v>
      </c>
      <c r="L920" s="15">
        <v>9166.1299999999992</v>
      </c>
      <c r="M920" s="16">
        <f t="shared" si="70"/>
        <v>305.53766666666667</v>
      </c>
      <c r="N920" s="15">
        <v>0</v>
      </c>
      <c r="O920" s="16">
        <f t="shared" si="71"/>
        <v>9751.2000000000007</v>
      </c>
      <c r="P920" s="15" t="s">
        <v>18</v>
      </c>
      <c r="Q920" s="15">
        <v>0.06</v>
      </c>
      <c r="R920" s="16">
        <f t="shared" si="72"/>
        <v>585.072</v>
      </c>
      <c r="S920" s="15">
        <v>-4836</v>
      </c>
      <c r="T920" s="15">
        <v>0</v>
      </c>
      <c r="U920" s="17">
        <f t="shared" si="73"/>
        <v>-4250.9279999999999</v>
      </c>
      <c r="V920" s="12" t="s">
        <v>55</v>
      </c>
      <c r="W920" s="12">
        <v>108</v>
      </c>
    </row>
    <row r="921" spans="4:23" s="12" customFormat="1" ht="30.75" customHeight="1" thickTop="1" thickBot="1" x14ac:dyDescent="0.35">
      <c r="D921" s="10"/>
      <c r="G921" s="13">
        <f t="shared" si="74"/>
        <v>920</v>
      </c>
      <c r="H921" s="18">
        <v>45924</v>
      </c>
      <c r="I921" s="15" t="s">
        <v>31</v>
      </c>
      <c r="J921" s="15">
        <v>7680</v>
      </c>
      <c r="K921" s="15">
        <v>40</v>
      </c>
      <c r="L921" s="15">
        <v>7219.2</v>
      </c>
      <c r="M921" s="16">
        <f t="shared" si="70"/>
        <v>180.48</v>
      </c>
      <c r="N921" s="15">
        <v>0</v>
      </c>
      <c r="O921" s="16">
        <f t="shared" si="71"/>
        <v>7680</v>
      </c>
      <c r="P921" s="15" t="s">
        <v>18</v>
      </c>
      <c r="Q921" s="15">
        <v>0.06</v>
      </c>
      <c r="R921" s="16">
        <f t="shared" si="72"/>
        <v>460.79999999999995</v>
      </c>
      <c r="S921" s="15">
        <v>13200</v>
      </c>
      <c r="T921" s="15">
        <v>0</v>
      </c>
      <c r="U921" s="17">
        <f t="shared" si="73"/>
        <v>13660.8</v>
      </c>
      <c r="V921" s="12" t="s">
        <v>55</v>
      </c>
      <c r="W921" s="12">
        <v>108</v>
      </c>
    </row>
    <row r="922" spans="4:23" s="12" customFormat="1" ht="30.75" customHeight="1" thickTop="1" thickBot="1" x14ac:dyDescent="0.35">
      <c r="D922" s="10"/>
      <c r="G922" s="13">
        <f t="shared" si="74"/>
        <v>921</v>
      </c>
      <c r="H922" s="18">
        <v>45924</v>
      </c>
      <c r="I922" s="15" t="s">
        <v>57</v>
      </c>
      <c r="J922" s="15">
        <v>10851.25</v>
      </c>
      <c r="K922" s="15">
        <v>25</v>
      </c>
      <c r="L922" s="15">
        <v>10742.74</v>
      </c>
      <c r="M922" s="16">
        <f t="shared" si="70"/>
        <v>429.70959999999997</v>
      </c>
      <c r="N922" s="15">
        <v>0</v>
      </c>
      <c r="O922" s="16">
        <f t="shared" si="71"/>
        <v>10851.25</v>
      </c>
      <c r="P922" s="15" t="s">
        <v>29</v>
      </c>
      <c r="Q922" s="15">
        <v>0.02</v>
      </c>
      <c r="R922" s="16">
        <f t="shared" si="72"/>
        <v>217.02500000000001</v>
      </c>
      <c r="S922" s="15">
        <v>0</v>
      </c>
      <c r="T922" s="15">
        <v>0</v>
      </c>
      <c r="U922" s="17">
        <f t="shared" si="73"/>
        <v>217.02500000000001</v>
      </c>
      <c r="V922" s="12" t="s">
        <v>55</v>
      </c>
      <c r="W922" s="12">
        <v>108</v>
      </c>
    </row>
    <row r="923" spans="4:23" s="10" customFormat="1" ht="30.75" customHeight="1" thickTop="1" thickBot="1" x14ac:dyDescent="0.35">
      <c r="G923" s="25">
        <f t="shared" si="74"/>
        <v>922</v>
      </c>
      <c r="H923" s="26">
        <v>45924</v>
      </c>
      <c r="I923" s="16" t="s">
        <v>31</v>
      </c>
      <c r="J923" s="16">
        <v>51840</v>
      </c>
      <c r="K923" s="16">
        <v>270</v>
      </c>
      <c r="L923" s="16">
        <v>48729.599999999999</v>
      </c>
      <c r="M923" s="16">
        <f t="shared" si="70"/>
        <v>180.48</v>
      </c>
      <c r="N923" s="15">
        <v>0</v>
      </c>
      <c r="O923" s="16">
        <f t="shared" si="71"/>
        <v>51840</v>
      </c>
      <c r="P923" s="16" t="s">
        <v>18</v>
      </c>
      <c r="Q923" s="16">
        <v>0.06</v>
      </c>
      <c r="R923" s="16">
        <f t="shared" si="72"/>
        <v>3110.4</v>
      </c>
      <c r="S923" s="15">
        <v>0</v>
      </c>
      <c r="T923" s="15">
        <v>0</v>
      </c>
      <c r="U923" s="17">
        <f t="shared" si="73"/>
        <v>3110.4</v>
      </c>
      <c r="V923" s="12" t="s">
        <v>55</v>
      </c>
      <c r="W923" s="12">
        <v>108</v>
      </c>
    </row>
    <row r="924" spans="4:23" s="12" customFormat="1" ht="30.75" customHeight="1" thickTop="1" thickBot="1" x14ac:dyDescent="0.35">
      <c r="D924" s="10"/>
      <c r="G924" s="13">
        <f t="shared" si="74"/>
        <v>923</v>
      </c>
      <c r="H924" s="18">
        <v>45925</v>
      </c>
      <c r="I924" s="15" t="s">
        <v>30</v>
      </c>
      <c r="J924" s="15">
        <v>46087.5</v>
      </c>
      <c r="K924" s="15">
        <v>150</v>
      </c>
      <c r="L924" s="15">
        <v>31754.29</v>
      </c>
      <c r="M924" s="16">
        <f t="shared" si="70"/>
        <v>211.69526666666667</v>
      </c>
      <c r="N924" s="15">
        <v>0</v>
      </c>
      <c r="O924" s="16">
        <f t="shared" si="71"/>
        <v>46087.5</v>
      </c>
      <c r="P924" s="15" t="s">
        <v>18</v>
      </c>
      <c r="Q924" s="15">
        <v>0.06</v>
      </c>
      <c r="R924" s="16">
        <f t="shared" si="72"/>
        <v>2765.25</v>
      </c>
      <c r="S924" s="15">
        <v>0</v>
      </c>
      <c r="T924" s="15">
        <v>0</v>
      </c>
      <c r="U924" s="17">
        <f t="shared" si="73"/>
        <v>2765.25</v>
      </c>
      <c r="V924" s="12" t="s">
        <v>58</v>
      </c>
      <c r="W924" s="12">
        <v>109</v>
      </c>
    </row>
    <row r="925" spans="4:23" s="12" customFormat="1" ht="30.75" customHeight="1" thickTop="1" thickBot="1" x14ac:dyDescent="0.35">
      <c r="D925" s="10"/>
      <c r="G925" s="13">
        <f t="shared" si="74"/>
        <v>924</v>
      </c>
      <c r="H925" s="18">
        <v>45925</v>
      </c>
      <c r="I925" s="15" t="s">
        <v>17</v>
      </c>
      <c r="J925" s="15">
        <v>92175</v>
      </c>
      <c r="K925" s="15">
        <v>300</v>
      </c>
      <c r="L925" s="15">
        <v>63508.58</v>
      </c>
      <c r="M925" s="16">
        <f t="shared" si="70"/>
        <v>211.69526666666667</v>
      </c>
      <c r="N925" s="15">
        <v>0</v>
      </c>
      <c r="O925" s="16">
        <f t="shared" si="71"/>
        <v>92175</v>
      </c>
      <c r="P925" s="15" t="s">
        <v>18</v>
      </c>
      <c r="Q925" s="15">
        <v>0.06</v>
      </c>
      <c r="R925" s="16">
        <f t="shared" si="72"/>
        <v>5530.5</v>
      </c>
      <c r="S925" s="15">
        <v>0</v>
      </c>
      <c r="T925" s="15">
        <v>0</v>
      </c>
      <c r="U925" s="17">
        <f t="shared" si="73"/>
        <v>5530.5</v>
      </c>
      <c r="V925" s="12" t="s">
        <v>58</v>
      </c>
      <c r="W925" s="12">
        <v>109</v>
      </c>
    </row>
    <row r="926" spans="4:23" s="12" customFormat="1" ht="30.75" customHeight="1" thickTop="1" thickBot="1" x14ac:dyDescent="0.35">
      <c r="D926" s="10"/>
      <c r="G926" s="13">
        <f t="shared" si="74"/>
        <v>925</v>
      </c>
      <c r="H926" s="18">
        <v>45925</v>
      </c>
      <c r="I926" s="36" t="s">
        <v>35</v>
      </c>
      <c r="J926" s="15">
        <v>4380</v>
      </c>
      <c r="K926" s="15">
        <v>25</v>
      </c>
      <c r="L926" s="15">
        <v>2847</v>
      </c>
      <c r="M926" s="16">
        <f t="shared" si="70"/>
        <v>113.88</v>
      </c>
      <c r="N926" s="15">
        <v>0</v>
      </c>
      <c r="O926" s="16">
        <f t="shared" si="71"/>
        <v>4380</v>
      </c>
      <c r="P926" s="15" t="s">
        <v>18</v>
      </c>
      <c r="Q926" s="15">
        <v>0.06</v>
      </c>
      <c r="R926" s="16">
        <f t="shared" si="72"/>
        <v>262.8</v>
      </c>
      <c r="S926" s="15">
        <v>0</v>
      </c>
      <c r="T926" s="15">
        <v>0</v>
      </c>
      <c r="U926" s="17">
        <f t="shared" si="73"/>
        <v>262.8</v>
      </c>
      <c r="V926" s="12" t="s">
        <v>58</v>
      </c>
      <c r="W926" s="12">
        <v>109</v>
      </c>
    </row>
    <row r="927" spans="4:23" s="12" customFormat="1" ht="30.75" customHeight="1" thickTop="1" thickBot="1" x14ac:dyDescent="0.35">
      <c r="D927" s="10"/>
      <c r="G927" s="13">
        <f t="shared" si="74"/>
        <v>926</v>
      </c>
      <c r="H927" s="18">
        <v>45925</v>
      </c>
      <c r="I927" s="36" t="s">
        <v>20</v>
      </c>
      <c r="J927" s="15">
        <v>936</v>
      </c>
      <c r="K927" s="15">
        <v>3</v>
      </c>
      <c r="L927" s="15">
        <v>879.84</v>
      </c>
      <c r="M927" s="16">
        <f t="shared" si="70"/>
        <v>293.28000000000003</v>
      </c>
      <c r="N927" s="15">
        <v>0</v>
      </c>
      <c r="O927" s="16">
        <f t="shared" si="71"/>
        <v>936</v>
      </c>
      <c r="P927" s="15" t="s">
        <v>18</v>
      </c>
      <c r="Q927" s="15">
        <v>0.06</v>
      </c>
      <c r="R927" s="16">
        <f t="shared" si="72"/>
        <v>56.16</v>
      </c>
      <c r="S927" s="15">
        <v>0</v>
      </c>
      <c r="T927" s="15">
        <v>0</v>
      </c>
      <c r="U927" s="17">
        <f t="shared" si="73"/>
        <v>56.16</v>
      </c>
      <c r="V927" s="12" t="s">
        <v>58</v>
      </c>
      <c r="W927" s="12">
        <v>109</v>
      </c>
    </row>
    <row r="928" spans="4:23" s="12" customFormat="1" ht="30.75" customHeight="1" thickTop="1" thickBot="1" x14ac:dyDescent="0.35">
      <c r="D928" s="10"/>
      <c r="G928" s="13">
        <f t="shared" si="74"/>
        <v>927</v>
      </c>
      <c r="H928" s="18">
        <v>45925</v>
      </c>
      <c r="I928" s="15" t="s">
        <v>21</v>
      </c>
      <c r="J928" s="15">
        <v>1346.25</v>
      </c>
      <c r="K928" s="15">
        <v>5</v>
      </c>
      <c r="L928" s="15">
        <v>1265.48</v>
      </c>
      <c r="M928" s="16">
        <f t="shared" si="70"/>
        <v>253.096</v>
      </c>
      <c r="N928" s="15">
        <v>0</v>
      </c>
      <c r="O928" s="16">
        <f t="shared" si="71"/>
        <v>1346.25</v>
      </c>
      <c r="P928" s="15" t="s">
        <v>18</v>
      </c>
      <c r="Q928" s="15">
        <v>0.06</v>
      </c>
      <c r="R928" s="16">
        <f t="shared" si="72"/>
        <v>80.774999999999991</v>
      </c>
      <c r="S928" s="15">
        <v>0</v>
      </c>
      <c r="T928" s="15">
        <v>0</v>
      </c>
      <c r="U928" s="17">
        <f t="shared" si="73"/>
        <v>80.774999999999991</v>
      </c>
      <c r="V928" s="12" t="s">
        <v>58</v>
      </c>
      <c r="W928" s="12">
        <v>109</v>
      </c>
    </row>
    <row r="929" spans="4:23" s="12" customFormat="1" ht="30.75" customHeight="1" thickTop="1" thickBot="1" x14ac:dyDescent="0.35">
      <c r="D929" s="10"/>
      <c r="G929" s="13">
        <f t="shared" si="74"/>
        <v>928</v>
      </c>
      <c r="H929" s="18">
        <v>45925</v>
      </c>
      <c r="I929" s="15" t="s">
        <v>23</v>
      </c>
      <c r="J929" s="15">
        <v>19200</v>
      </c>
      <c r="K929" s="15">
        <v>100</v>
      </c>
      <c r="L929" s="15">
        <v>18048</v>
      </c>
      <c r="M929" s="16">
        <f t="shared" si="70"/>
        <v>180.48</v>
      </c>
      <c r="N929" s="15">
        <v>0</v>
      </c>
      <c r="O929" s="16">
        <f t="shared" si="71"/>
        <v>19200</v>
      </c>
      <c r="P929" s="15" t="s">
        <v>18</v>
      </c>
      <c r="Q929" s="15">
        <v>0.06</v>
      </c>
      <c r="R929" s="16">
        <f t="shared" si="72"/>
        <v>1152</v>
      </c>
      <c r="S929" s="15">
        <v>0</v>
      </c>
      <c r="T929" s="15">
        <v>0</v>
      </c>
      <c r="U929" s="17">
        <f t="shared" si="73"/>
        <v>1152</v>
      </c>
      <c r="V929" s="12" t="s">
        <v>58</v>
      </c>
      <c r="W929" s="12">
        <v>109</v>
      </c>
    </row>
    <row r="930" spans="4:23" s="12" customFormat="1" ht="30.75" customHeight="1" thickTop="1" thickBot="1" x14ac:dyDescent="0.35">
      <c r="D930" s="10"/>
      <c r="G930" s="13">
        <f t="shared" si="74"/>
        <v>929</v>
      </c>
      <c r="H930" s="18">
        <v>45925</v>
      </c>
      <c r="I930" s="15" t="s">
        <v>31</v>
      </c>
      <c r="J930" s="15">
        <v>3840</v>
      </c>
      <c r="K930" s="15">
        <v>20</v>
      </c>
      <c r="L930" s="15">
        <v>3609.6</v>
      </c>
      <c r="M930" s="16">
        <f t="shared" si="70"/>
        <v>180.48</v>
      </c>
      <c r="N930" s="15">
        <v>0</v>
      </c>
      <c r="O930" s="16">
        <f t="shared" si="71"/>
        <v>3840</v>
      </c>
      <c r="P930" s="15" t="s">
        <v>18</v>
      </c>
      <c r="Q930" s="15">
        <v>0.06</v>
      </c>
      <c r="R930" s="16">
        <f t="shared" si="72"/>
        <v>230.39999999999998</v>
      </c>
      <c r="S930" s="15">
        <v>0</v>
      </c>
      <c r="T930" s="15">
        <v>0</v>
      </c>
      <c r="U930" s="17">
        <f t="shared" si="73"/>
        <v>230.39999999999998</v>
      </c>
      <c r="V930" s="12" t="s">
        <v>58</v>
      </c>
      <c r="W930" s="12">
        <v>109</v>
      </c>
    </row>
    <row r="931" spans="4:23" s="12" customFormat="1" ht="30.75" customHeight="1" thickTop="1" thickBot="1" x14ac:dyDescent="0.35">
      <c r="D931" s="10"/>
      <c r="G931" s="13">
        <f t="shared" si="74"/>
        <v>930</v>
      </c>
      <c r="H931" s="18">
        <v>45925</v>
      </c>
      <c r="I931" s="15" t="s">
        <v>30</v>
      </c>
      <c r="J931" s="15">
        <v>15362.5</v>
      </c>
      <c r="K931" s="15">
        <v>50</v>
      </c>
      <c r="L931" s="15">
        <v>10584.76</v>
      </c>
      <c r="M931" s="16">
        <f t="shared" si="70"/>
        <v>211.6952</v>
      </c>
      <c r="N931" s="15">
        <v>0</v>
      </c>
      <c r="O931" s="16">
        <f t="shared" si="71"/>
        <v>15362.5</v>
      </c>
      <c r="P931" s="15" t="s">
        <v>18</v>
      </c>
      <c r="Q931" s="15">
        <v>0.06</v>
      </c>
      <c r="R931" s="16">
        <f t="shared" si="72"/>
        <v>921.75</v>
      </c>
      <c r="S931" s="15">
        <v>0</v>
      </c>
      <c r="T931" s="15">
        <v>0</v>
      </c>
      <c r="U931" s="17">
        <f t="shared" si="73"/>
        <v>921.75</v>
      </c>
      <c r="V931" s="12" t="s">
        <v>58</v>
      </c>
      <c r="W931" s="12">
        <v>110</v>
      </c>
    </row>
    <row r="932" spans="4:23" s="12" customFormat="1" ht="30.75" customHeight="1" thickTop="1" thickBot="1" x14ac:dyDescent="0.35">
      <c r="D932" s="10"/>
      <c r="G932" s="13">
        <f t="shared" si="74"/>
        <v>931</v>
      </c>
      <c r="H932" s="18">
        <v>45925</v>
      </c>
      <c r="I932" s="15" t="s">
        <v>17</v>
      </c>
      <c r="J932" s="15">
        <v>30725</v>
      </c>
      <c r="K932" s="15">
        <v>100</v>
      </c>
      <c r="L932" s="15">
        <v>21169.53</v>
      </c>
      <c r="M932" s="16">
        <f t="shared" si="70"/>
        <v>211.69529999999997</v>
      </c>
      <c r="N932" s="15">
        <v>0</v>
      </c>
      <c r="O932" s="16">
        <f t="shared" si="71"/>
        <v>30725</v>
      </c>
      <c r="P932" s="15" t="s">
        <v>18</v>
      </c>
      <c r="Q932" s="15">
        <v>0.06</v>
      </c>
      <c r="R932" s="16">
        <f t="shared" si="72"/>
        <v>1843.5</v>
      </c>
      <c r="S932" s="15">
        <v>0</v>
      </c>
      <c r="T932" s="15">
        <v>0</v>
      </c>
      <c r="U932" s="17">
        <f t="shared" si="73"/>
        <v>1843.5</v>
      </c>
      <c r="V932" s="12" t="s">
        <v>58</v>
      </c>
      <c r="W932" s="12">
        <v>110</v>
      </c>
    </row>
    <row r="933" spans="4:23" s="12" customFormat="1" ht="30.75" customHeight="1" thickTop="1" thickBot="1" x14ac:dyDescent="0.35">
      <c r="D933" s="10"/>
      <c r="G933" s="13">
        <f t="shared" si="74"/>
        <v>932</v>
      </c>
      <c r="H933" s="18">
        <v>45928</v>
      </c>
      <c r="I933" s="15" t="s">
        <v>30</v>
      </c>
      <c r="J933" s="15">
        <v>46087.5</v>
      </c>
      <c r="K933" s="15">
        <v>150</v>
      </c>
      <c r="L933" s="15">
        <v>31754.29</v>
      </c>
      <c r="M933" s="16">
        <f t="shared" si="70"/>
        <v>211.69526666666667</v>
      </c>
      <c r="N933" s="15">
        <v>0</v>
      </c>
      <c r="O933" s="16">
        <f t="shared" si="71"/>
        <v>46087.5</v>
      </c>
      <c r="P933" s="15" t="s">
        <v>18</v>
      </c>
      <c r="Q933" s="15">
        <v>0.06</v>
      </c>
      <c r="R933" s="16">
        <f t="shared" si="72"/>
        <v>2765.25</v>
      </c>
      <c r="S933" s="15">
        <v>0</v>
      </c>
      <c r="T933" s="15">
        <v>0</v>
      </c>
      <c r="U933" s="17">
        <f t="shared" si="73"/>
        <v>2765.25</v>
      </c>
      <c r="V933" s="12" t="s">
        <v>58</v>
      </c>
      <c r="W933" s="12">
        <v>111</v>
      </c>
    </row>
    <row r="934" spans="4:23" s="12" customFormat="1" ht="30.75" customHeight="1" thickTop="1" thickBot="1" x14ac:dyDescent="0.35">
      <c r="D934" s="10"/>
      <c r="G934" s="13">
        <f t="shared" si="74"/>
        <v>933</v>
      </c>
      <c r="H934" s="18">
        <v>45928</v>
      </c>
      <c r="I934" s="15" t="s">
        <v>17</v>
      </c>
      <c r="J934" s="15">
        <v>76812.5</v>
      </c>
      <c r="K934" s="15">
        <v>250</v>
      </c>
      <c r="L934" s="15">
        <v>52923.81</v>
      </c>
      <c r="M934" s="16">
        <f t="shared" si="70"/>
        <v>211.69523999999998</v>
      </c>
      <c r="N934" s="15">
        <v>0</v>
      </c>
      <c r="O934" s="16">
        <f t="shared" si="71"/>
        <v>76812.5</v>
      </c>
      <c r="P934" s="15" t="s">
        <v>18</v>
      </c>
      <c r="Q934" s="15">
        <v>0.06</v>
      </c>
      <c r="R934" s="16">
        <f t="shared" si="72"/>
        <v>4608.75</v>
      </c>
      <c r="S934" s="15">
        <v>0</v>
      </c>
      <c r="T934" s="15">
        <v>0</v>
      </c>
      <c r="U934" s="17">
        <f t="shared" si="73"/>
        <v>4608.75</v>
      </c>
      <c r="V934" s="12" t="s">
        <v>58</v>
      </c>
      <c r="W934" s="12">
        <v>111</v>
      </c>
    </row>
    <row r="935" spans="4:23" s="12" customFormat="1" ht="30.75" customHeight="1" thickTop="1" thickBot="1" x14ac:dyDescent="0.35">
      <c r="D935" s="10"/>
      <c r="G935" s="13">
        <f t="shared" si="74"/>
        <v>934</v>
      </c>
      <c r="H935" s="18">
        <v>45928</v>
      </c>
      <c r="I935" s="36" t="s">
        <v>20</v>
      </c>
      <c r="J935" s="15">
        <v>624</v>
      </c>
      <c r="K935" s="15">
        <v>2</v>
      </c>
      <c r="L935" s="15">
        <v>586.55999999999995</v>
      </c>
      <c r="M935" s="16">
        <f t="shared" si="70"/>
        <v>293.27999999999997</v>
      </c>
      <c r="N935" s="15">
        <v>0</v>
      </c>
      <c r="O935" s="16">
        <f t="shared" si="71"/>
        <v>624</v>
      </c>
      <c r="P935" s="15" t="s">
        <v>18</v>
      </c>
      <c r="Q935" s="15">
        <v>0.06</v>
      </c>
      <c r="R935" s="16">
        <f t="shared" si="72"/>
        <v>37.44</v>
      </c>
      <c r="S935" s="15">
        <v>0</v>
      </c>
      <c r="T935" s="15">
        <v>0</v>
      </c>
      <c r="U935" s="17">
        <f t="shared" si="73"/>
        <v>37.44</v>
      </c>
      <c r="V935" s="12" t="s">
        <v>58</v>
      </c>
      <c r="W935" s="12">
        <v>111</v>
      </c>
    </row>
    <row r="936" spans="4:23" s="12" customFormat="1" ht="30.75" customHeight="1" thickTop="1" thickBot="1" x14ac:dyDescent="0.35">
      <c r="D936" s="10"/>
      <c r="G936" s="13">
        <f t="shared" si="74"/>
        <v>935</v>
      </c>
      <c r="H936" s="18">
        <v>45928</v>
      </c>
      <c r="I936" s="15" t="s">
        <v>23</v>
      </c>
      <c r="J936" s="15">
        <v>38400</v>
      </c>
      <c r="K936" s="15">
        <v>200</v>
      </c>
      <c r="L936" s="15">
        <v>36096</v>
      </c>
      <c r="M936" s="16">
        <f t="shared" si="70"/>
        <v>180.48</v>
      </c>
      <c r="N936" s="15">
        <v>0</v>
      </c>
      <c r="O936" s="16">
        <f t="shared" si="71"/>
        <v>38400</v>
      </c>
      <c r="P936" s="15" t="s">
        <v>18</v>
      </c>
      <c r="Q936" s="15">
        <v>0.06</v>
      </c>
      <c r="R936" s="16">
        <f t="shared" si="72"/>
        <v>2304</v>
      </c>
      <c r="S936" s="15">
        <v>0</v>
      </c>
      <c r="T936" s="15">
        <v>0</v>
      </c>
      <c r="U936" s="17">
        <f t="shared" si="73"/>
        <v>2304</v>
      </c>
      <c r="V936" s="12" t="s">
        <v>58</v>
      </c>
      <c r="W936" s="12">
        <v>111</v>
      </c>
    </row>
    <row r="937" spans="4:23" s="12" customFormat="1" ht="30.75" customHeight="1" thickTop="1" thickBot="1" x14ac:dyDescent="0.35">
      <c r="D937" s="10"/>
      <c r="G937" s="13">
        <f t="shared" si="74"/>
        <v>936</v>
      </c>
      <c r="H937" s="18">
        <v>45928</v>
      </c>
      <c r="I937" s="15" t="s">
        <v>31</v>
      </c>
      <c r="J937" s="15">
        <v>5760</v>
      </c>
      <c r="K937" s="15">
        <v>30</v>
      </c>
      <c r="L937" s="15">
        <v>5414.4</v>
      </c>
      <c r="M937" s="16">
        <f t="shared" si="70"/>
        <v>180.48</v>
      </c>
      <c r="N937" s="15">
        <v>0</v>
      </c>
      <c r="O937" s="16">
        <f t="shared" si="71"/>
        <v>5760</v>
      </c>
      <c r="P937" s="15" t="s">
        <v>18</v>
      </c>
      <c r="Q937" s="15">
        <v>0.06</v>
      </c>
      <c r="R937" s="16">
        <f t="shared" si="72"/>
        <v>345.59999999999997</v>
      </c>
      <c r="S937" s="15">
        <v>0</v>
      </c>
      <c r="T937" s="15">
        <v>0</v>
      </c>
      <c r="U937" s="17">
        <f t="shared" si="73"/>
        <v>345.59999999999997</v>
      </c>
      <c r="V937" s="12" t="s">
        <v>58</v>
      </c>
      <c r="W937" s="12">
        <v>111</v>
      </c>
    </row>
    <row r="938" spans="4:23" s="12" customFormat="1" ht="30.75" customHeight="1" thickTop="1" thickBot="1" x14ac:dyDescent="0.35">
      <c r="D938" s="10"/>
      <c r="G938" s="13">
        <f t="shared" si="74"/>
        <v>937</v>
      </c>
      <c r="H938" s="18">
        <v>45928</v>
      </c>
      <c r="I938" s="15" t="s">
        <v>48</v>
      </c>
      <c r="J938" s="15">
        <v>19020</v>
      </c>
      <c r="K938" s="15">
        <v>60</v>
      </c>
      <c r="L938" s="15">
        <v>17878.8</v>
      </c>
      <c r="M938" s="16">
        <f t="shared" si="70"/>
        <v>297.97999999999996</v>
      </c>
      <c r="N938" s="15">
        <v>0</v>
      </c>
      <c r="O938" s="16">
        <f t="shared" si="71"/>
        <v>19020</v>
      </c>
      <c r="P938" s="15" t="s">
        <v>26</v>
      </c>
      <c r="Q938" s="15">
        <v>0.02</v>
      </c>
      <c r="R938" s="16">
        <f t="shared" si="72"/>
        <v>380.40000000000003</v>
      </c>
      <c r="S938" s="15">
        <v>0</v>
      </c>
      <c r="T938" s="15">
        <v>0</v>
      </c>
      <c r="U938" s="17">
        <f t="shared" si="73"/>
        <v>380.40000000000003</v>
      </c>
      <c r="V938" s="12" t="s">
        <v>58</v>
      </c>
      <c r="W938" s="12">
        <v>111</v>
      </c>
    </row>
    <row r="939" spans="4:23" s="12" customFormat="1" ht="30.75" customHeight="1" thickTop="1" thickBot="1" x14ac:dyDescent="0.35">
      <c r="D939" s="10"/>
      <c r="G939" s="13">
        <f t="shared" si="74"/>
        <v>938</v>
      </c>
      <c r="H939" s="18">
        <v>45928</v>
      </c>
      <c r="I939" s="15" t="s">
        <v>39</v>
      </c>
      <c r="J939" s="15">
        <v>33550</v>
      </c>
      <c r="K939" s="15">
        <v>110</v>
      </c>
      <c r="L939" s="15">
        <v>31537</v>
      </c>
      <c r="M939" s="16">
        <f t="shared" si="70"/>
        <v>286.7</v>
      </c>
      <c r="N939" s="15">
        <v>0</v>
      </c>
      <c r="O939" s="16">
        <f t="shared" si="71"/>
        <v>33550</v>
      </c>
      <c r="P939" s="15" t="s">
        <v>26</v>
      </c>
      <c r="Q939" s="15">
        <v>0.02</v>
      </c>
      <c r="R939" s="16">
        <f t="shared" si="72"/>
        <v>671</v>
      </c>
      <c r="S939" s="15">
        <v>0</v>
      </c>
      <c r="T939" s="15">
        <v>0</v>
      </c>
      <c r="U939" s="17">
        <f t="shared" si="73"/>
        <v>671</v>
      </c>
      <c r="V939" s="12" t="s">
        <v>58</v>
      </c>
      <c r="W939" s="12">
        <v>111</v>
      </c>
    </row>
    <row r="940" spans="4:23" s="12" customFormat="1" ht="30.75" customHeight="1" thickTop="1" thickBot="1" x14ac:dyDescent="0.35">
      <c r="D940" s="10"/>
      <c r="G940" s="13">
        <f t="shared" si="74"/>
        <v>939</v>
      </c>
      <c r="H940" s="18">
        <v>45930</v>
      </c>
      <c r="I940" s="15" t="s">
        <v>37</v>
      </c>
      <c r="J940" s="15">
        <v>26757.5</v>
      </c>
      <c r="K940" s="15">
        <v>50</v>
      </c>
      <c r="L940" s="15">
        <v>25954.78</v>
      </c>
      <c r="M940" s="16">
        <f t="shared" si="70"/>
        <v>519.09559999999999</v>
      </c>
      <c r="N940" s="15">
        <v>0</v>
      </c>
      <c r="O940" s="16">
        <f t="shared" si="71"/>
        <v>26757.5</v>
      </c>
      <c r="P940" s="15" t="s">
        <v>29</v>
      </c>
      <c r="Q940" s="15">
        <v>0.02</v>
      </c>
      <c r="R940" s="16">
        <f t="shared" si="72"/>
        <v>535.15</v>
      </c>
      <c r="S940" s="15">
        <v>0</v>
      </c>
      <c r="T940" s="15">
        <v>0</v>
      </c>
      <c r="U940" s="17">
        <f t="shared" si="73"/>
        <v>535.15</v>
      </c>
      <c r="V940" s="12" t="s">
        <v>58</v>
      </c>
      <c r="W940" s="12">
        <v>112</v>
      </c>
    </row>
    <row r="941" spans="4:23" s="12" customFormat="1" ht="30.75" customHeight="1" thickTop="1" thickBot="1" x14ac:dyDescent="0.35">
      <c r="D941" s="10"/>
      <c r="G941" s="13">
        <f t="shared" si="74"/>
        <v>940</v>
      </c>
      <c r="H941" s="18">
        <v>45930</v>
      </c>
      <c r="I941" s="15" t="s">
        <v>30</v>
      </c>
      <c r="J941" s="15">
        <v>61450</v>
      </c>
      <c r="K941" s="15">
        <v>200</v>
      </c>
      <c r="L941" s="15">
        <v>42339.05</v>
      </c>
      <c r="M941" s="16">
        <f t="shared" si="70"/>
        <v>211.69525000000002</v>
      </c>
      <c r="N941" s="15">
        <v>0</v>
      </c>
      <c r="O941" s="16">
        <f t="shared" si="71"/>
        <v>61450</v>
      </c>
      <c r="P941" s="15" t="s">
        <v>18</v>
      </c>
      <c r="Q941" s="15">
        <v>0.06</v>
      </c>
      <c r="R941" s="16">
        <f t="shared" si="72"/>
        <v>3687</v>
      </c>
      <c r="S941" s="15">
        <v>0</v>
      </c>
      <c r="T941" s="15">
        <v>0</v>
      </c>
      <c r="U941" s="17">
        <f t="shared" si="73"/>
        <v>3687</v>
      </c>
      <c r="V941" s="12" t="s">
        <v>58</v>
      </c>
      <c r="W941" s="12">
        <v>112</v>
      </c>
    </row>
    <row r="942" spans="4:23" s="12" customFormat="1" ht="30.75" customHeight="1" thickTop="1" thickBot="1" x14ac:dyDescent="0.35">
      <c r="D942" s="10"/>
      <c r="G942" s="13">
        <f t="shared" si="74"/>
        <v>941</v>
      </c>
      <c r="H942" s="18">
        <v>45930</v>
      </c>
      <c r="I942" s="15" t="s">
        <v>17</v>
      </c>
      <c r="J942" s="15">
        <v>92789.5</v>
      </c>
      <c r="K942" s="15">
        <v>302</v>
      </c>
      <c r="L942" s="15">
        <v>63931.97</v>
      </c>
      <c r="M942" s="16">
        <f t="shared" si="70"/>
        <v>211.69526490066227</v>
      </c>
      <c r="N942" s="15">
        <v>0</v>
      </c>
      <c r="O942" s="16">
        <f t="shared" si="71"/>
        <v>92789.5</v>
      </c>
      <c r="P942" s="15" t="s">
        <v>18</v>
      </c>
      <c r="Q942" s="15">
        <v>0.06</v>
      </c>
      <c r="R942" s="16">
        <f t="shared" si="72"/>
        <v>5567.37</v>
      </c>
      <c r="S942" s="15">
        <v>0</v>
      </c>
      <c r="T942" s="15">
        <v>0</v>
      </c>
      <c r="U942" s="17">
        <f t="shared" si="73"/>
        <v>5567.37</v>
      </c>
      <c r="V942" s="12" t="s">
        <v>58</v>
      </c>
      <c r="W942" s="12">
        <v>112</v>
      </c>
    </row>
    <row r="943" spans="4:23" s="12" customFormat="1" ht="30.75" customHeight="1" thickTop="1" thickBot="1" x14ac:dyDescent="0.35">
      <c r="D943" s="10"/>
      <c r="G943" s="13">
        <f t="shared" si="74"/>
        <v>942</v>
      </c>
      <c r="H943" s="18">
        <v>45930</v>
      </c>
      <c r="I943" s="36" t="s">
        <v>20</v>
      </c>
      <c r="J943" s="15">
        <v>624</v>
      </c>
      <c r="K943" s="15">
        <v>2</v>
      </c>
      <c r="L943" s="15">
        <v>586.55999999999995</v>
      </c>
      <c r="M943" s="16">
        <f t="shared" si="70"/>
        <v>293.27999999999997</v>
      </c>
      <c r="N943" s="15">
        <v>0</v>
      </c>
      <c r="O943" s="16">
        <f t="shared" si="71"/>
        <v>624</v>
      </c>
      <c r="P943" s="15" t="s">
        <v>18</v>
      </c>
      <c r="Q943" s="15">
        <v>0.06</v>
      </c>
      <c r="R943" s="16">
        <f t="shared" si="72"/>
        <v>37.44</v>
      </c>
      <c r="S943" s="15">
        <v>0</v>
      </c>
      <c r="T943" s="15">
        <v>0</v>
      </c>
      <c r="U943" s="17">
        <f t="shared" si="73"/>
        <v>37.44</v>
      </c>
      <c r="V943" s="12" t="s">
        <v>58</v>
      </c>
      <c r="W943" s="12">
        <v>112</v>
      </c>
    </row>
    <row r="944" spans="4:23" s="12" customFormat="1" ht="30.75" customHeight="1" thickTop="1" thickBot="1" x14ac:dyDescent="0.35">
      <c r="D944" s="10"/>
      <c r="G944" s="13">
        <f t="shared" si="74"/>
        <v>943</v>
      </c>
      <c r="H944" s="18">
        <v>45930</v>
      </c>
      <c r="I944" s="15" t="s">
        <v>21</v>
      </c>
      <c r="J944" s="15">
        <v>1977.6</v>
      </c>
      <c r="K944" s="15">
        <v>8</v>
      </c>
      <c r="L944" s="15">
        <v>1858.94</v>
      </c>
      <c r="M944" s="16">
        <f t="shared" si="70"/>
        <v>232.36750000000001</v>
      </c>
      <c r="N944" s="15">
        <v>0</v>
      </c>
      <c r="O944" s="16">
        <f t="shared" si="71"/>
        <v>1977.6</v>
      </c>
      <c r="P944" s="15" t="s">
        <v>18</v>
      </c>
      <c r="Q944" s="15">
        <v>0.06</v>
      </c>
      <c r="R944" s="16">
        <f t="shared" si="72"/>
        <v>118.65599999999999</v>
      </c>
      <c r="S944" s="15">
        <v>0</v>
      </c>
      <c r="T944" s="15">
        <v>0</v>
      </c>
      <c r="U944" s="17">
        <f t="shared" si="73"/>
        <v>118.65599999999999</v>
      </c>
      <c r="V944" s="12" t="s">
        <v>58</v>
      </c>
      <c r="W944" s="12">
        <v>112</v>
      </c>
    </row>
    <row r="945" spans="4:23" s="12" customFormat="1" ht="30.75" customHeight="1" thickTop="1" thickBot="1" x14ac:dyDescent="0.35">
      <c r="D945" s="10"/>
      <c r="G945" s="13">
        <f t="shared" si="74"/>
        <v>944</v>
      </c>
      <c r="H945" s="18">
        <v>45930</v>
      </c>
      <c r="I945" s="15" t="s">
        <v>22</v>
      </c>
      <c r="J945" s="15">
        <v>2692.5</v>
      </c>
      <c r="K945" s="15">
        <v>10</v>
      </c>
      <c r="L945" s="15">
        <v>2530.9499999999998</v>
      </c>
      <c r="M945" s="16">
        <f t="shared" si="70"/>
        <v>253.09499999999997</v>
      </c>
      <c r="N945" s="15">
        <v>0</v>
      </c>
      <c r="O945" s="16">
        <f t="shared" si="71"/>
        <v>2692.5</v>
      </c>
      <c r="P945" s="15" t="s">
        <v>18</v>
      </c>
      <c r="Q945" s="15">
        <v>0.06</v>
      </c>
      <c r="R945" s="16">
        <f t="shared" si="72"/>
        <v>161.54999999999998</v>
      </c>
      <c r="S945" s="15">
        <v>0</v>
      </c>
      <c r="T945" s="15">
        <v>0</v>
      </c>
      <c r="U945" s="17">
        <f t="shared" si="73"/>
        <v>161.54999999999998</v>
      </c>
      <c r="V945" s="12" t="s">
        <v>58</v>
      </c>
      <c r="W945" s="12">
        <v>112</v>
      </c>
    </row>
    <row r="946" spans="4:23" s="12" customFormat="1" ht="30.75" customHeight="1" thickTop="1" thickBot="1" x14ac:dyDescent="0.35">
      <c r="D946" s="10"/>
      <c r="G946" s="13">
        <f t="shared" si="74"/>
        <v>945</v>
      </c>
      <c r="H946" s="18">
        <v>45930</v>
      </c>
      <c r="I946" s="15" t="s">
        <v>23</v>
      </c>
      <c r="J946" s="15">
        <v>28800</v>
      </c>
      <c r="K946" s="15">
        <v>150</v>
      </c>
      <c r="L946" s="15">
        <v>27072</v>
      </c>
      <c r="M946" s="16">
        <f t="shared" si="70"/>
        <v>180.48</v>
      </c>
      <c r="N946" s="15">
        <v>0</v>
      </c>
      <c r="O946" s="16">
        <f t="shared" si="71"/>
        <v>28800</v>
      </c>
      <c r="P946" s="15" t="s">
        <v>18</v>
      </c>
      <c r="Q946" s="15">
        <v>0.06</v>
      </c>
      <c r="R946" s="16">
        <f t="shared" si="72"/>
        <v>1728</v>
      </c>
      <c r="S946" s="15">
        <v>0</v>
      </c>
      <c r="T946" s="15">
        <v>0</v>
      </c>
      <c r="U946" s="17">
        <f t="shared" si="73"/>
        <v>1728</v>
      </c>
      <c r="V946" s="12" t="s">
        <v>58</v>
      </c>
      <c r="W946" s="12">
        <v>112</v>
      </c>
    </row>
    <row r="947" spans="4:23" s="12" customFormat="1" ht="30.75" customHeight="1" thickTop="1" thickBot="1" x14ac:dyDescent="0.35">
      <c r="D947" s="10"/>
      <c r="G947" s="13">
        <f t="shared" si="74"/>
        <v>946</v>
      </c>
      <c r="H947" s="18">
        <v>45930</v>
      </c>
      <c r="I947" s="15" t="s">
        <v>24</v>
      </c>
      <c r="J947" s="15">
        <v>9751.2000000000007</v>
      </c>
      <c r="K947" s="15">
        <v>30</v>
      </c>
      <c r="L947" s="15">
        <v>9166.1299999999992</v>
      </c>
      <c r="M947" s="16">
        <f t="shared" si="70"/>
        <v>305.53766666666667</v>
      </c>
      <c r="N947" s="15">
        <v>0</v>
      </c>
      <c r="O947" s="16">
        <f t="shared" si="71"/>
        <v>9751.2000000000007</v>
      </c>
      <c r="P947" s="15" t="s">
        <v>18</v>
      </c>
      <c r="Q947" s="15">
        <v>0.06</v>
      </c>
      <c r="R947" s="16">
        <f t="shared" si="72"/>
        <v>585.072</v>
      </c>
      <c r="S947" s="15">
        <v>0</v>
      </c>
      <c r="T947" s="15">
        <v>0</v>
      </c>
      <c r="U947" s="17">
        <f t="shared" si="73"/>
        <v>585.072</v>
      </c>
      <c r="V947" s="12" t="s">
        <v>58</v>
      </c>
      <c r="W947" s="12">
        <v>112</v>
      </c>
    </row>
    <row r="948" spans="4:23" s="12" customFormat="1" ht="30.75" customHeight="1" thickTop="1" thickBot="1" x14ac:dyDescent="0.35">
      <c r="D948" s="10"/>
      <c r="G948" s="13">
        <f t="shared" si="74"/>
        <v>947</v>
      </c>
      <c r="H948" s="18">
        <v>45930</v>
      </c>
      <c r="I948" s="15" t="s">
        <v>31</v>
      </c>
      <c r="J948" s="15">
        <v>3840</v>
      </c>
      <c r="K948" s="15">
        <v>20</v>
      </c>
      <c r="L948" s="15">
        <v>3609.6</v>
      </c>
      <c r="M948" s="16">
        <f t="shared" si="70"/>
        <v>180.48</v>
      </c>
      <c r="N948" s="15">
        <v>0</v>
      </c>
      <c r="O948" s="16">
        <f t="shared" si="71"/>
        <v>3840</v>
      </c>
      <c r="P948" s="15" t="s">
        <v>18</v>
      </c>
      <c r="Q948" s="15">
        <v>0.06</v>
      </c>
      <c r="R948" s="16">
        <f t="shared" si="72"/>
        <v>230.39999999999998</v>
      </c>
      <c r="S948" s="15">
        <v>0</v>
      </c>
      <c r="T948" s="15">
        <v>0</v>
      </c>
      <c r="U948" s="17">
        <f t="shared" si="73"/>
        <v>230.39999999999998</v>
      </c>
      <c r="V948" s="12" t="s">
        <v>58</v>
      </c>
      <c r="W948" s="12">
        <v>112</v>
      </c>
    </row>
    <row r="949" spans="4:23" s="12" customFormat="1" ht="30.75" customHeight="1" thickTop="1" thickBot="1" x14ac:dyDescent="0.35">
      <c r="D949" s="10"/>
      <c r="G949" s="13">
        <f t="shared" si="74"/>
        <v>948</v>
      </c>
      <c r="H949" s="18">
        <v>45934</v>
      </c>
      <c r="I949" s="15" t="s">
        <v>30</v>
      </c>
      <c r="J949" s="15">
        <v>92175</v>
      </c>
      <c r="K949" s="15">
        <v>300</v>
      </c>
      <c r="L949" s="15">
        <v>63508.56</v>
      </c>
      <c r="M949" s="16">
        <f t="shared" si="70"/>
        <v>211.6952</v>
      </c>
      <c r="N949" s="15">
        <v>0</v>
      </c>
      <c r="O949" s="16">
        <f t="shared" si="71"/>
        <v>92175</v>
      </c>
      <c r="P949" s="15" t="s">
        <v>18</v>
      </c>
      <c r="Q949" s="15">
        <v>0.06</v>
      </c>
      <c r="R949" s="16">
        <f t="shared" si="72"/>
        <v>5530.5</v>
      </c>
      <c r="S949" s="15">
        <v>0</v>
      </c>
      <c r="T949" s="15">
        <v>0</v>
      </c>
      <c r="U949" s="17">
        <f t="shared" si="73"/>
        <v>5530.5</v>
      </c>
      <c r="V949" s="12" t="s">
        <v>58</v>
      </c>
      <c r="W949" s="12">
        <v>113</v>
      </c>
    </row>
    <row r="950" spans="4:23" s="12" customFormat="1" ht="30.75" customHeight="1" thickTop="1" thickBot="1" x14ac:dyDescent="0.35">
      <c r="D950" s="10"/>
      <c r="G950" s="13">
        <f t="shared" si="74"/>
        <v>949</v>
      </c>
      <c r="H950" s="18">
        <v>45934</v>
      </c>
      <c r="I950" s="15" t="s">
        <v>17</v>
      </c>
      <c r="J950" s="15">
        <v>153625</v>
      </c>
      <c r="K950" s="15">
        <v>500</v>
      </c>
      <c r="L950" s="15">
        <v>105847.63</v>
      </c>
      <c r="M950" s="16">
        <f t="shared" si="70"/>
        <v>211.69526000000002</v>
      </c>
      <c r="N950" s="15">
        <v>0</v>
      </c>
      <c r="O950" s="16">
        <f t="shared" si="71"/>
        <v>153625</v>
      </c>
      <c r="P950" s="15" t="s">
        <v>18</v>
      </c>
      <c r="Q950" s="15">
        <v>0.06</v>
      </c>
      <c r="R950" s="16">
        <f t="shared" si="72"/>
        <v>9217.5</v>
      </c>
      <c r="S950" s="15">
        <v>0</v>
      </c>
      <c r="T950" s="15">
        <v>0</v>
      </c>
      <c r="U950" s="17">
        <f t="shared" si="73"/>
        <v>9217.5</v>
      </c>
      <c r="V950" s="12" t="s">
        <v>58</v>
      </c>
      <c r="W950" s="12">
        <v>113</v>
      </c>
    </row>
    <row r="951" spans="4:23" s="12" customFormat="1" ht="30.75" customHeight="1" thickTop="1" thickBot="1" x14ac:dyDescent="0.35">
      <c r="D951" s="10"/>
      <c r="G951" s="13">
        <f t="shared" si="74"/>
        <v>950</v>
      </c>
      <c r="H951" s="18">
        <v>45934</v>
      </c>
      <c r="I951" s="36" t="s">
        <v>20</v>
      </c>
      <c r="J951" s="15">
        <v>624</v>
      </c>
      <c r="K951" s="15">
        <v>2</v>
      </c>
      <c r="L951" s="15">
        <v>586.55999999999995</v>
      </c>
      <c r="M951" s="16">
        <f t="shared" si="70"/>
        <v>293.27999999999997</v>
      </c>
      <c r="N951" s="15">
        <v>0</v>
      </c>
      <c r="O951" s="16">
        <f t="shared" si="71"/>
        <v>624</v>
      </c>
      <c r="P951" s="15" t="s">
        <v>18</v>
      </c>
      <c r="Q951" s="15">
        <v>0.06</v>
      </c>
      <c r="R951" s="16">
        <f t="shared" si="72"/>
        <v>37.44</v>
      </c>
      <c r="S951" s="15">
        <v>0</v>
      </c>
      <c r="T951" s="15">
        <v>0</v>
      </c>
      <c r="U951" s="17">
        <f t="shared" si="73"/>
        <v>37.44</v>
      </c>
      <c r="V951" s="12" t="s">
        <v>58</v>
      </c>
      <c r="W951" s="12">
        <v>113</v>
      </c>
    </row>
    <row r="952" spans="4:23" s="12" customFormat="1" ht="30.75" customHeight="1" thickTop="1" thickBot="1" x14ac:dyDescent="0.35">
      <c r="D952" s="10"/>
      <c r="G952" s="13">
        <f t="shared" si="74"/>
        <v>951</v>
      </c>
      <c r="H952" s="18">
        <v>45934</v>
      </c>
      <c r="I952" s="15" t="s">
        <v>21</v>
      </c>
      <c r="J952" s="15">
        <v>1236</v>
      </c>
      <c r="K952" s="15">
        <v>5</v>
      </c>
      <c r="L952" s="15">
        <v>1161.8399999999999</v>
      </c>
      <c r="M952" s="16">
        <f t="shared" si="70"/>
        <v>232.36799999999999</v>
      </c>
      <c r="N952" s="15">
        <v>0</v>
      </c>
      <c r="O952" s="16">
        <f t="shared" si="71"/>
        <v>1236</v>
      </c>
      <c r="P952" s="15" t="s">
        <v>18</v>
      </c>
      <c r="Q952" s="15">
        <v>0.06</v>
      </c>
      <c r="R952" s="16">
        <f t="shared" si="72"/>
        <v>74.16</v>
      </c>
      <c r="S952" s="15">
        <v>0</v>
      </c>
      <c r="T952" s="15">
        <v>0</v>
      </c>
      <c r="U952" s="17">
        <f t="shared" si="73"/>
        <v>74.16</v>
      </c>
      <c r="V952" s="12" t="s">
        <v>58</v>
      </c>
      <c r="W952" s="12">
        <v>113</v>
      </c>
    </row>
    <row r="953" spans="4:23" s="12" customFormat="1" ht="30.75" customHeight="1" thickTop="1" thickBot="1" x14ac:dyDescent="0.35">
      <c r="D953" s="10"/>
      <c r="G953" s="13">
        <f t="shared" si="74"/>
        <v>952</v>
      </c>
      <c r="H953" s="18">
        <v>45934</v>
      </c>
      <c r="I953" s="15" t="s">
        <v>22</v>
      </c>
      <c r="J953" s="15">
        <v>1346.25</v>
      </c>
      <c r="K953" s="15">
        <v>5</v>
      </c>
      <c r="L953" s="15">
        <v>1265.48</v>
      </c>
      <c r="M953" s="16">
        <f t="shared" si="70"/>
        <v>253.096</v>
      </c>
      <c r="N953" s="15">
        <v>0</v>
      </c>
      <c r="O953" s="16">
        <f t="shared" si="71"/>
        <v>1346.25</v>
      </c>
      <c r="P953" s="15" t="s">
        <v>18</v>
      </c>
      <c r="Q953" s="15">
        <v>0.06</v>
      </c>
      <c r="R953" s="16">
        <f t="shared" si="72"/>
        <v>80.774999999999991</v>
      </c>
      <c r="S953" s="15">
        <v>0</v>
      </c>
      <c r="T953" s="15">
        <v>0</v>
      </c>
      <c r="U953" s="17">
        <f t="shared" si="73"/>
        <v>80.774999999999991</v>
      </c>
      <c r="V953" s="12" t="s">
        <v>58</v>
      </c>
      <c r="W953" s="12">
        <v>113</v>
      </c>
    </row>
    <row r="954" spans="4:23" s="12" customFormat="1" ht="30.75" customHeight="1" thickTop="1" thickBot="1" x14ac:dyDescent="0.35">
      <c r="D954" s="10"/>
      <c r="G954" s="13">
        <f t="shared" si="74"/>
        <v>953</v>
      </c>
      <c r="H954" s="18">
        <v>45934</v>
      </c>
      <c r="I954" s="15" t="s">
        <v>23</v>
      </c>
      <c r="J954" s="15">
        <v>42240</v>
      </c>
      <c r="K954" s="15">
        <v>220</v>
      </c>
      <c r="L954" s="15">
        <v>39705.599999999999</v>
      </c>
      <c r="M954" s="16">
        <f t="shared" si="70"/>
        <v>180.48</v>
      </c>
      <c r="N954" s="15">
        <v>0</v>
      </c>
      <c r="O954" s="16">
        <f t="shared" si="71"/>
        <v>42240</v>
      </c>
      <c r="P954" s="15" t="s">
        <v>18</v>
      </c>
      <c r="Q954" s="15">
        <v>0.06</v>
      </c>
      <c r="R954" s="16">
        <f t="shared" si="72"/>
        <v>2534.4</v>
      </c>
      <c r="S954" s="15">
        <v>0</v>
      </c>
      <c r="T954" s="15">
        <v>0</v>
      </c>
      <c r="U954" s="17">
        <f t="shared" si="73"/>
        <v>2534.4</v>
      </c>
      <c r="V954" s="12" t="s">
        <v>58</v>
      </c>
      <c r="W954" s="12">
        <v>113</v>
      </c>
    </row>
    <row r="955" spans="4:23" s="12" customFormat="1" ht="30.75" customHeight="1" thickTop="1" thickBot="1" x14ac:dyDescent="0.35">
      <c r="D955" s="10"/>
      <c r="G955" s="13">
        <f t="shared" si="74"/>
        <v>954</v>
      </c>
      <c r="H955" s="18">
        <v>45934</v>
      </c>
      <c r="I955" s="15" t="s">
        <v>24</v>
      </c>
      <c r="J955" s="15">
        <v>8126</v>
      </c>
      <c r="K955" s="15">
        <v>25</v>
      </c>
      <c r="L955" s="15">
        <v>7639.44</v>
      </c>
      <c r="M955" s="16">
        <f t="shared" si="70"/>
        <v>305.57759999999996</v>
      </c>
      <c r="N955" s="15">
        <v>0</v>
      </c>
      <c r="O955" s="16">
        <f t="shared" si="71"/>
        <v>8126</v>
      </c>
      <c r="P955" s="15" t="s">
        <v>18</v>
      </c>
      <c r="Q955" s="15">
        <v>0.06</v>
      </c>
      <c r="R955" s="16">
        <f t="shared" si="72"/>
        <v>487.56</v>
      </c>
      <c r="S955" s="15">
        <v>0</v>
      </c>
      <c r="T955" s="15">
        <v>0</v>
      </c>
      <c r="U955" s="17">
        <f t="shared" si="73"/>
        <v>487.56</v>
      </c>
      <c r="V955" s="12" t="s">
        <v>58</v>
      </c>
      <c r="W955" s="12">
        <v>113</v>
      </c>
    </row>
    <row r="956" spans="4:23" s="12" customFormat="1" ht="30.75" customHeight="1" thickTop="1" thickBot="1" x14ac:dyDescent="0.35">
      <c r="D956" s="10"/>
      <c r="G956" s="13">
        <f t="shared" si="74"/>
        <v>955</v>
      </c>
      <c r="H956" s="18">
        <v>45934</v>
      </c>
      <c r="I956" s="15" t="s">
        <v>31</v>
      </c>
      <c r="J956" s="15">
        <v>7680</v>
      </c>
      <c r="K956" s="15">
        <v>40</v>
      </c>
      <c r="L956" s="15">
        <v>7219.2</v>
      </c>
      <c r="M956" s="16">
        <f t="shared" si="70"/>
        <v>180.48</v>
      </c>
      <c r="N956" s="15">
        <v>0</v>
      </c>
      <c r="O956" s="16">
        <f t="shared" si="71"/>
        <v>7680</v>
      </c>
      <c r="P956" s="15" t="s">
        <v>18</v>
      </c>
      <c r="Q956" s="15">
        <v>0.06</v>
      </c>
      <c r="R956" s="16">
        <f t="shared" si="72"/>
        <v>460.79999999999995</v>
      </c>
      <c r="S956" s="15">
        <v>0</v>
      </c>
      <c r="T956" s="15">
        <v>0</v>
      </c>
      <c r="U956" s="17">
        <f t="shared" si="73"/>
        <v>460.79999999999995</v>
      </c>
      <c r="V956" s="12" t="s">
        <v>58</v>
      </c>
      <c r="W956" s="12">
        <v>113</v>
      </c>
    </row>
    <row r="957" spans="4:23" s="12" customFormat="1" ht="30.75" customHeight="1" thickTop="1" thickBot="1" x14ac:dyDescent="0.35">
      <c r="D957" s="10"/>
      <c r="G957" s="13">
        <f t="shared" si="74"/>
        <v>956</v>
      </c>
      <c r="H957" s="18">
        <v>45934</v>
      </c>
      <c r="I957" s="15" t="s">
        <v>57</v>
      </c>
      <c r="J957" s="15">
        <v>32553.75</v>
      </c>
      <c r="K957" s="15">
        <v>75</v>
      </c>
      <c r="L957" s="15">
        <v>31902.68</v>
      </c>
      <c r="M957" s="16">
        <f t="shared" si="70"/>
        <v>425.3690666666667</v>
      </c>
      <c r="N957" s="15">
        <v>0</v>
      </c>
      <c r="O957" s="16">
        <f t="shared" si="71"/>
        <v>32553.75</v>
      </c>
      <c r="P957" s="15" t="s">
        <v>29</v>
      </c>
      <c r="Q957" s="15">
        <v>0.02</v>
      </c>
      <c r="R957" s="16">
        <f t="shared" si="72"/>
        <v>651.07500000000005</v>
      </c>
      <c r="S957" s="15">
        <v>0</v>
      </c>
      <c r="T957" s="15">
        <v>0</v>
      </c>
      <c r="U957" s="17">
        <f t="shared" si="73"/>
        <v>651.07500000000005</v>
      </c>
      <c r="V957" s="12" t="s">
        <v>58</v>
      </c>
      <c r="W957" s="12">
        <v>113</v>
      </c>
    </row>
    <row r="958" spans="4:23" s="12" customFormat="1" ht="30.75" customHeight="1" thickTop="1" thickBot="1" x14ac:dyDescent="0.35">
      <c r="D958" s="10"/>
      <c r="G958" s="13">
        <f t="shared" si="74"/>
        <v>957</v>
      </c>
      <c r="H958" s="18">
        <v>45935</v>
      </c>
      <c r="I958" s="15" t="s">
        <v>30</v>
      </c>
      <c r="J958" s="15">
        <v>92175</v>
      </c>
      <c r="K958" s="15">
        <v>300</v>
      </c>
      <c r="L958" s="15">
        <v>63508.56</v>
      </c>
      <c r="M958" s="16">
        <f t="shared" si="70"/>
        <v>211.6952</v>
      </c>
      <c r="N958" s="15">
        <v>0</v>
      </c>
      <c r="O958" s="16">
        <f t="shared" si="71"/>
        <v>92175</v>
      </c>
      <c r="P958" s="15" t="s">
        <v>18</v>
      </c>
      <c r="Q958" s="15">
        <v>0.06</v>
      </c>
      <c r="R958" s="16">
        <f t="shared" si="72"/>
        <v>5530.5</v>
      </c>
      <c r="S958" s="15">
        <v>0</v>
      </c>
      <c r="T958" s="15">
        <v>0</v>
      </c>
      <c r="U958" s="17">
        <f t="shared" si="73"/>
        <v>5530.5</v>
      </c>
      <c r="V958" s="12" t="s">
        <v>58</v>
      </c>
      <c r="W958" s="12">
        <v>114</v>
      </c>
    </row>
    <row r="959" spans="4:23" s="12" customFormat="1" ht="30.75" customHeight="1" thickTop="1" thickBot="1" x14ac:dyDescent="0.35">
      <c r="D959" s="10"/>
      <c r="G959" s="13">
        <f t="shared" si="74"/>
        <v>958</v>
      </c>
      <c r="H959" s="18">
        <v>45935</v>
      </c>
      <c r="I959" s="15" t="s">
        <v>17</v>
      </c>
      <c r="J959" s="15">
        <v>153625</v>
      </c>
      <c r="K959" s="15">
        <v>500</v>
      </c>
      <c r="L959" s="15">
        <v>105847.63</v>
      </c>
      <c r="M959" s="16">
        <f t="shared" si="70"/>
        <v>211.69526000000002</v>
      </c>
      <c r="N959" s="15">
        <v>0</v>
      </c>
      <c r="O959" s="16">
        <f t="shared" si="71"/>
        <v>153625</v>
      </c>
      <c r="P959" s="15" t="s">
        <v>18</v>
      </c>
      <c r="Q959" s="15">
        <v>0.06</v>
      </c>
      <c r="R959" s="16">
        <f t="shared" si="72"/>
        <v>9217.5</v>
      </c>
      <c r="S959" s="15">
        <v>0</v>
      </c>
      <c r="T959" s="15">
        <v>0</v>
      </c>
      <c r="U959" s="17">
        <f t="shared" si="73"/>
        <v>9217.5</v>
      </c>
      <c r="V959" s="12" t="s">
        <v>58</v>
      </c>
      <c r="W959" s="12">
        <v>114</v>
      </c>
    </row>
    <row r="960" spans="4:23" s="12" customFormat="1" ht="30.75" customHeight="1" thickTop="1" thickBot="1" x14ac:dyDescent="0.35">
      <c r="D960" s="10"/>
      <c r="G960" s="13">
        <f t="shared" si="74"/>
        <v>959</v>
      </c>
      <c r="H960" s="18">
        <v>45935</v>
      </c>
      <c r="I960" s="36" t="s">
        <v>20</v>
      </c>
      <c r="J960" s="15">
        <v>936</v>
      </c>
      <c r="K960" s="15">
        <v>3</v>
      </c>
      <c r="L960" s="15">
        <v>879.84</v>
      </c>
      <c r="M960" s="16">
        <f t="shared" si="70"/>
        <v>293.28000000000003</v>
      </c>
      <c r="N960" s="15">
        <v>0</v>
      </c>
      <c r="O960" s="16">
        <f t="shared" si="71"/>
        <v>936</v>
      </c>
      <c r="P960" s="15" t="s">
        <v>18</v>
      </c>
      <c r="Q960" s="15">
        <v>0.06</v>
      </c>
      <c r="R960" s="16">
        <f t="shared" si="72"/>
        <v>56.16</v>
      </c>
      <c r="S960" s="15">
        <v>0</v>
      </c>
      <c r="T960" s="15">
        <v>0</v>
      </c>
      <c r="U960" s="17">
        <f t="shared" si="73"/>
        <v>56.16</v>
      </c>
      <c r="V960" s="12" t="s">
        <v>58</v>
      </c>
      <c r="W960" s="12">
        <v>114</v>
      </c>
    </row>
    <row r="961" spans="4:23" s="12" customFormat="1" ht="30.75" customHeight="1" thickTop="1" thickBot="1" x14ac:dyDescent="0.35">
      <c r="D961" s="10"/>
      <c r="G961" s="13">
        <f t="shared" si="74"/>
        <v>960</v>
      </c>
      <c r="H961" s="18">
        <v>45935</v>
      </c>
      <c r="I961" s="15" t="s">
        <v>21</v>
      </c>
      <c r="J961" s="15">
        <v>2472</v>
      </c>
      <c r="K961" s="15">
        <v>10</v>
      </c>
      <c r="L961" s="15">
        <v>2323.6799999999998</v>
      </c>
      <c r="M961" s="16">
        <f t="shared" si="70"/>
        <v>232.36799999999999</v>
      </c>
      <c r="N961" s="15">
        <v>0</v>
      </c>
      <c r="O961" s="16">
        <f t="shared" si="71"/>
        <v>2472</v>
      </c>
      <c r="P961" s="15" t="s">
        <v>18</v>
      </c>
      <c r="Q961" s="15">
        <v>0.06</v>
      </c>
      <c r="R961" s="16">
        <f t="shared" si="72"/>
        <v>148.32</v>
      </c>
      <c r="S961" s="15">
        <v>0</v>
      </c>
      <c r="T961" s="15">
        <v>0</v>
      </c>
      <c r="U961" s="17">
        <f t="shared" si="73"/>
        <v>148.32</v>
      </c>
      <c r="V961" s="12" t="s">
        <v>58</v>
      </c>
      <c r="W961" s="12">
        <v>114</v>
      </c>
    </row>
    <row r="962" spans="4:23" s="12" customFormat="1" ht="30.75" customHeight="1" thickTop="1" thickBot="1" x14ac:dyDescent="0.35">
      <c r="D962" s="10"/>
      <c r="G962" s="13">
        <f t="shared" si="74"/>
        <v>961</v>
      </c>
      <c r="H962" s="18">
        <v>45935</v>
      </c>
      <c r="I962" s="15" t="s">
        <v>22</v>
      </c>
      <c r="J962" s="15">
        <v>1346.25</v>
      </c>
      <c r="K962" s="15">
        <v>5</v>
      </c>
      <c r="L962" s="15">
        <v>1265.48</v>
      </c>
      <c r="M962" s="16">
        <f t="shared" ref="M962:M1025" si="75">IFERROR(L962/K962,"")</f>
        <v>253.096</v>
      </c>
      <c r="N962" s="15">
        <v>0</v>
      </c>
      <c r="O962" s="16">
        <f t="shared" ref="O962:O1025" si="76">J962-N962</f>
        <v>1346.25</v>
      </c>
      <c r="P962" s="15" t="s">
        <v>18</v>
      </c>
      <c r="Q962" s="15">
        <v>0.06</v>
      </c>
      <c r="R962" s="16">
        <f t="shared" ref="R962:R1025" si="77">J962*Q962</f>
        <v>80.774999999999991</v>
      </c>
      <c r="S962" s="15">
        <v>0</v>
      </c>
      <c r="T962" s="15">
        <v>0</v>
      </c>
      <c r="U962" s="17">
        <f t="shared" ref="U962:U1025" si="78">T962+S962+R962</f>
        <v>80.774999999999991</v>
      </c>
      <c r="V962" s="12" t="s">
        <v>58</v>
      </c>
      <c r="W962" s="12">
        <v>114</v>
      </c>
    </row>
    <row r="963" spans="4:23" s="12" customFormat="1" ht="30.75" customHeight="1" thickTop="1" thickBot="1" x14ac:dyDescent="0.35">
      <c r="D963" s="10"/>
      <c r="G963" s="13">
        <f t="shared" si="74"/>
        <v>962</v>
      </c>
      <c r="H963" s="18">
        <v>45935</v>
      </c>
      <c r="I963" s="15" t="s">
        <v>23</v>
      </c>
      <c r="J963" s="15">
        <v>48000</v>
      </c>
      <c r="K963" s="15">
        <v>250</v>
      </c>
      <c r="L963" s="15">
        <v>45120</v>
      </c>
      <c r="M963" s="16">
        <f t="shared" si="75"/>
        <v>180.48</v>
      </c>
      <c r="N963" s="15">
        <v>0</v>
      </c>
      <c r="O963" s="16">
        <f t="shared" si="76"/>
        <v>48000</v>
      </c>
      <c r="P963" s="15" t="s">
        <v>18</v>
      </c>
      <c r="Q963" s="15">
        <v>0.06</v>
      </c>
      <c r="R963" s="16">
        <f t="shared" si="77"/>
        <v>2880</v>
      </c>
      <c r="S963" s="15">
        <v>0</v>
      </c>
      <c r="T963" s="15">
        <v>0</v>
      </c>
      <c r="U963" s="17">
        <f t="shared" si="78"/>
        <v>2880</v>
      </c>
      <c r="V963" s="12" t="s">
        <v>58</v>
      </c>
      <c r="W963" s="12">
        <v>114</v>
      </c>
    </row>
    <row r="964" spans="4:23" s="12" customFormat="1" ht="30.75" customHeight="1" thickTop="1" thickBot="1" x14ac:dyDescent="0.35">
      <c r="D964" s="10"/>
      <c r="G964" s="13">
        <f t="shared" ref="G964:G1027" si="79">G963+1</f>
        <v>963</v>
      </c>
      <c r="H964" s="18">
        <v>45935</v>
      </c>
      <c r="I964" s="15" t="s">
        <v>24</v>
      </c>
      <c r="J964" s="15">
        <v>13001.6</v>
      </c>
      <c r="K964" s="15">
        <v>40</v>
      </c>
      <c r="L964" s="15">
        <v>12221.5</v>
      </c>
      <c r="M964" s="16">
        <f t="shared" si="75"/>
        <v>305.53750000000002</v>
      </c>
      <c r="N964" s="15">
        <v>0</v>
      </c>
      <c r="O964" s="16">
        <f t="shared" si="76"/>
        <v>13001.6</v>
      </c>
      <c r="P964" s="15" t="s">
        <v>18</v>
      </c>
      <c r="Q964" s="15">
        <v>0.06</v>
      </c>
      <c r="R964" s="16">
        <f t="shared" si="77"/>
        <v>780.096</v>
      </c>
      <c r="S964" s="15">
        <v>0</v>
      </c>
      <c r="T964" s="15">
        <v>0</v>
      </c>
      <c r="U964" s="17">
        <f t="shared" si="78"/>
        <v>780.096</v>
      </c>
      <c r="V964" s="12" t="s">
        <v>58</v>
      </c>
      <c r="W964" s="12">
        <v>114</v>
      </c>
    </row>
    <row r="965" spans="4:23" s="12" customFormat="1" ht="30.75" customHeight="1" thickTop="1" thickBot="1" x14ac:dyDescent="0.35">
      <c r="D965" s="10"/>
      <c r="G965" s="13">
        <f t="shared" si="79"/>
        <v>964</v>
      </c>
      <c r="H965" s="18">
        <v>45935</v>
      </c>
      <c r="I965" s="15" t="s">
        <v>31</v>
      </c>
      <c r="J965" s="15">
        <v>7680</v>
      </c>
      <c r="K965" s="15">
        <v>40</v>
      </c>
      <c r="L965" s="15">
        <v>7219.2</v>
      </c>
      <c r="M965" s="16">
        <f t="shared" si="75"/>
        <v>180.48</v>
      </c>
      <c r="N965" s="15">
        <v>0</v>
      </c>
      <c r="O965" s="16">
        <f t="shared" si="76"/>
        <v>7680</v>
      </c>
      <c r="P965" s="15" t="s">
        <v>18</v>
      </c>
      <c r="Q965" s="15">
        <v>0.06</v>
      </c>
      <c r="R965" s="16">
        <f t="shared" si="77"/>
        <v>460.79999999999995</v>
      </c>
      <c r="S965" s="15">
        <v>0</v>
      </c>
      <c r="T965" s="15">
        <v>0</v>
      </c>
      <c r="U965" s="17">
        <f t="shared" si="78"/>
        <v>460.79999999999995</v>
      </c>
      <c r="V965" s="12" t="s">
        <v>58</v>
      </c>
      <c r="W965" s="12">
        <v>114</v>
      </c>
    </row>
    <row r="966" spans="4:23" s="12" customFormat="1" ht="30.75" customHeight="1" thickTop="1" thickBot="1" x14ac:dyDescent="0.35">
      <c r="D966" s="10"/>
      <c r="G966" s="13">
        <f t="shared" si="79"/>
        <v>965</v>
      </c>
      <c r="H966" s="18">
        <v>45937</v>
      </c>
      <c r="I966" s="15" t="s">
        <v>30</v>
      </c>
      <c r="J966" s="15">
        <v>61450</v>
      </c>
      <c r="K966" s="15">
        <v>200</v>
      </c>
      <c r="L966" s="15">
        <v>42339.05</v>
      </c>
      <c r="M966" s="16">
        <f t="shared" si="75"/>
        <v>211.69525000000002</v>
      </c>
      <c r="N966" s="15">
        <v>0</v>
      </c>
      <c r="O966" s="16">
        <f t="shared" si="76"/>
        <v>61450</v>
      </c>
      <c r="P966" s="15" t="s">
        <v>18</v>
      </c>
      <c r="Q966" s="15">
        <v>0.06</v>
      </c>
      <c r="R966" s="16">
        <f t="shared" si="77"/>
        <v>3687</v>
      </c>
      <c r="S966" s="15">
        <v>0</v>
      </c>
      <c r="T966" s="15">
        <v>0</v>
      </c>
      <c r="U966" s="17">
        <f t="shared" si="78"/>
        <v>3687</v>
      </c>
      <c r="V966" s="12" t="s">
        <v>58</v>
      </c>
      <c r="W966" s="12">
        <v>115</v>
      </c>
    </row>
    <row r="967" spans="4:23" s="12" customFormat="1" ht="30.75" customHeight="1" thickTop="1" thickBot="1" x14ac:dyDescent="0.35">
      <c r="D967" s="10"/>
      <c r="G967" s="13">
        <f t="shared" si="79"/>
        <v>966</v>
      </c>
      <c r="H967" s="18">
        <v>45937</v>
      </c>
      <c r="I967" s="15" t="s">
        <v>17</v>
      </c>
      <c r="J967" s="15">
        <v>46087.5</v>
      </c>
      <c r="K967" s="15">
        <v>150</v>
      </c>
      <c r="L967" s="15">
        <v>31754.29</v>
      </c>
      <c r="M967" s="16">
        <f t="shared" si="75"/>
        <v>211.69526666666667</v>
      </c>
      <c r="N967" s="15">
        <v>0</v>
      </c>
      <c r="O967" s="16">
        <f t="shared" si="76"/>
        <v>46087.5</v>
      </c>
      <c r="P967" s="15" t="s">
        <v>18</v>
      </c>
      <c r="Q967" s="15">
        <v>0.06</v>
      </c>
      <c r="R967" s="16">
        <f t="shared" si="77"/>
        <v>2765.25</v>
      </c>
      <c r="S967" s="15">
        <v>0</v>
      </c>
      <c r="T967" s="15">
        <v>0</v>
      </c>
      <c r="U967" s="17">
        <f t="shared" si="78"/>
        <v>2765.25</v>
      </c>
      <c r="V967" s="12" t="s">
        <v>58</v>
      </c>
      <c r="W967" s="12">
        <v>115</v>
      </c>
    </row>
    <row r="968" spans="4:23" s="12" customFormat="1" ht="30.75" customHeight="1" thickTop="1" thickBot="1" x14ac:dyDescent="0.35">
      <c r="D968" s="10"/>
      <c r="G968" s="13">
        <f t="shared" si="79"/>
        <v>967</v>
      </c>
      <c r="H968" s="18">
        <v>45937</v>
      </c>
      <c r="I968" s="36" t="s">
        <v>20</v>
      </c>
      <c r="J968" s="15">
        <v>624</v>
      </c>
      <c r="K968" s="15">
        <v>2</v>
      </c>
      <c r="L968" s="15">
        <v>586.55999999999995</v>
      </c>
      <c r="M968" s="16">
        <f t="shared" si="75"/>
        <v>293.27999999999997</v>
      </c>
      <c r="N968" s="15">
        <v>0</v>
      </c>
      <c r="O968" s="16">
        <f t="shared" si="76"/>
        <v>624</v>
      </c>
      <c r="P968" s="15" t="s">
        <v>18</v>
      </c>
      <c r="Q968" s="15">
        <v>0.06</v>
      </c>
      <c r="R968" s="16">
        <f t="shared" si="77"/>
        <v>37.44</v>
      </c>
      <c r="S968" s="15">
        <v>0</v>
      </c>
      <c r="T968" s="15">
        <v>0</v>
      </c>
      <c r="U968" s="17">
        <f t="shared" si="78"/>
        <v>37.44</v>
      </c>
      <c r="V968" s="12" t="s">
        <v>58</v>
      </c>
      <c r="W968" s="12">
        <v>115</v>
      </c>
    </row>
    <row r="969" spans="4:23" s="12" customFormat="1" ht="30.75" customHeight="1" thickTop="1" thickBot="1" x14ac:dyDescent="0.35">
      <c r="D969" s="10"/>
      <c r="G969" s="13">
        <f t="shared" si="79"/>
        <v>968</v>
      </c>
      <c r="H969" s="18">
        <v>45937</v>
      </c>
      <c r="I969" s="15" t="s">
        <v>21</v>
      </c>
      <c r="J969" s="15">
        <v>2472</v>
      </c>
      <c r="K969" s="15">
        <v>10</v>
      </c>
      <c r="L969" s="15">
        <v>2323.6799999999998</v>
      </c>
      <c r="M969" s="16">
        <f t="shared" si="75"/>
        <v>232.36799999999999</v>
      </c>
      <c r="N969" s="15">
        <v>0</v>
      </c>
      <c r="O969" s="16">
        <f t="shared" si="76"/>
        <v>2472</v>
      </c>
      <c r="P969" s="15" t="s">
        <v>18</v>
      </c>
      <c r="Q969" s="15">
        <v>0.06</v>
      </c>
      <c r="R969" s="16">
        <f t="shared" si="77"/>
        <v>148.32</v>
      </c>
      <c r="S969" s="15">
        <v>0</v>
      </c>
      <c r="T969" s="15">
        <v>0</v>
      </c>
      <c r="U969" s="17">
        <f t="shared" si="78"/>
        <v>148.32</v>
      </c>
      <c r="V969" s="12" t="s">
        <v>58</v>
      </c>
      <c r="W969" s="12">
        <v>115</v>
      </c>
    </row>
    <row r="970" spans="4:23" s="12" customFormat="1" ht="30.75" customHeight="1" thickTop="1" thickBot="1" x14ac:dyDescent="0.35">
      <c r="D970" s="10"/>
      <c r="G970" s="13">
        <f t="shared" si="79"/>
        <v>969</v>
      </c>
      <c r="H970" s="18">
        <v>45937</v>
      </c>
      <c r="I970" s="15" t="s">
        <v>22</v>
      </c>
      <c r="J970" s="15">
        <v>1346.25</v>
      </c>
      <c r="K970" s="15">
        <v>5</v>
      </c>
      <c r="L970" s="15">
        <v>1265.8</v>
      </c>
      <c r="M970" s="16">
        <f t="shared" si="75"/>
        <v>253.16</v>
      </c>
      <c r="N970" s="15">
        <v>0</v>
      </c>
      <c r="O970" s="16">
        <f t="shared" si="76"/>
        <v>1346.25</v>
      </c>
      <c r="P970" s="15" t="s">
        <v>18</v>
      </c>
      <c r="Q970" s="15">
        <v>0.06</v>
      </c>
      <c r="R970" s="16">
        <f t="shared" si="77"/>
        <v>80.774999999999991</v>
      </c>
      <c r="S970" s="15">
        <v>0</v>
      </c>
      <c r="T970" s="15">
        <v>0</v>
      </c>
      <c r="U970" s="17">
        <f t="shared" si="78"/>
        <v>80.774999999999991</v>
      </c>
      <c r="V970" s="12" t="s">
        <v>58</v>
      </c>
      <c r="W970" s="12">
        <v>115</v>
      </c>
    </row>
    <row r="971" spans="4:23" s="12" customFormat="1" ht="30.75" customHeight="1" thickTop="1" thickBot="1" x14ac:dyDescent="0.35">
      <c r="D971" s="10"/>
      <c r="G971" s="13">
        <f t="shared" si="79"/>
        <v>970</v>
      </c>
      <c r="H971" s="18">
        <v>45937</v>
      </c>
      <c r="I971" s="15" t="s">
        <v>23</v>
      </c>
      <c r="J971" s="15">
        <v>30720</v>
      </c>
      <c r="K971" s="15">
        <v>160</v>
      </c>
      <c r="L971" s="15">
        <v>28876.799999999999</v>
      </c>
      <c r="M971" s="16">
        <f t="shared" si="75"/>
        <v>180.48</v>
      </c>
      <c r="N971" s="15">
        <v>0</v>
      </c>
      <c r="O971" s="16">
        <f t="shared" si="76"/>
        <v>30720</v>
      </c>
      <c r="P971" s="15" t="s">
        <v>18</v>
      </c>
      <c r="Q971" s="15">
        <v>0.06</v>
      </c>
      <c r="R971" s="16">
        <f t="shared" si="77"/>
        <v>1843.1999999999998</v>
      </c>
      <c r="S971" s="15">
        <v>0</v>
      </c>
      <c r="T971" s="15">
        <v>0</v>
      </c>
      <c r="U971" s="17">
        <f t="shared" si="78"/>
        <v>1843.1999999999998</v>
      </c>
      <c r="V971" s="12" t="s">
        <v>58</v>
      </c>
      <c r="W971" s="12">
        <v>115</v>
      </c>
    </row>
    <row r="972" spans="4:23" s="12" customFormat="1" ht="30.75" customHeight="1" thickTop="1" thickBot="1" x14ac:dyDescent="0.35">
      <c r="D972" s="10"/>
      <c r="G972" s="13">
        <f t="shared" si="79"/>
        <v>971</v>
      </c>
      <c r="H972" s="18">
        <v>45937</v>
      </c>
      <c r="I972" s="15" t="s">
        <v>31</v>
      </c>
      <c r="J972" s="15">
        <v>3840</v>
      </c>
      <c r="K972" s="15">
        <v>20</v>
      </c>
      <c r="L972" s="15">
        <v>3609.6</v>
      </c>
      <c r="M972" s="16">
        <f t="shared" si="75"/>
        <v>180.48</v>
      </c>
      <c r="N972" s="15">
        <v>0</v>
      </c>
      <c r="O972" s="16">
        <f t="shared" si="76"/>
        <v>3840</v>
      </c>
      <c r="P972" s="15" t="s">
        <v>18</v>
      </c>
      <c r="Q972" s="15">
        <v>0.06</v>
      </c>
      <c r="R972" s="16">
        <f t="shared" si="77"/>
        <v>230.39999999999998</v>
      </c>
      <c r="S972" s="15">
        <v>0</v>
      </c>
      <c r="T972" s="15">
        <v>0</v>
      </c>
      <c r="U972" s="17">
        <f t="shared" si="78"/>
        <v>230.39999999999998</v>
      </c>
      <c r="V972" s="12" t="s">
        <v>58</v>
      </c>
      <c r="W972" s="12">
        <v>115</v>
      </c>
    </row>
    <row r="973" spans="4:23" s="12" customFormat="1" ht="30.75" customHeight="1" thickTop="1" thickBot="1" x14ac:dyDescent="0.35">
      <c r="D973" s="10"/>
      <c r="G973" s="13">
        <f t="shared" si="79"/>
        <v>972</v>
      </c>
      <c r="H973" s="18">
        <v>45937</v>
      </c>
      <c r="I973" s="15" t="s">
        <v>36</v>
      </c>
      <c r="J973" s="15">
        <v>650.08000000000004</v>
      </c>
      <c r="K973" s="15">
        <v>2</v>
      </c>
      <c r="L973" s="15">
        <v>611.08000000000004</v>
      </c>
      <c r="M973" s="16">
        <f t="shared" si="75"/>
        <v>305.54000000000002</v>
      </c>
      <c r="N973" s="15">
        <v>0</v>
      </c>
      <c r="O973" s="16">
        <f t="shared" si="76"/>
        <v>650.08000000000004</v>
      </c>
      <c r="P973" s="15" t="s">
        <v>18</v>
      </c>
      <c r="Q973" s="15">
        <v>0.06</v>
      </c>
      <c r="R973" s="16">
        <f t="shared" si="77"/>
        <v>39.004800000000003</v>
      </c>
      <c r="S973" s="15">
        <v>0</v>
      </c>
      <c r="T973" s="15">
        <v>0</v>
      </c>
      <c r="U973" s="17">
        <f t="shared" si="78"/>
        <v>39.004800000000003</v>
      </c>
      <c r="V973" s="12" t="s">
        <v>58</v>
      </c>
      <c r="W973" s="12">
        <v>115</v>
      </c>
    </row>
    <row r="974" spans="4:23" s="12" customFormat="1" ht="30.75" customHeight="1" thickTop="1" thickBot="1" x14ac:dyDescent="0.35">
      <c r="D974" s="10"/>
      <c r="G974" s="13">
        <f t="shared" si="79"/>
        <v>973</v>
      </c>
      <c r="H974" s="18">
        <v>45940</v>
      </c>
      <c r="I974" s="15" t="s">
        <v>30</v>
      </c>
      <c r="J974" s="15">
        <v>79885</v>
      </c>
      <c r="K974" s="15">
        <v>260</v>
      </c>
      <c r="L974" s="15">
        <v>55040.27</v>
      </c>
      <c r="M974" s="16">
        <f t="shared" si="75"/>
        <v>211.69334615384614</v>
      </c>
      <c r="N974" s="15">
        <v>0</v>
      </c>
      <c r="O974" s="16">
        <f t="shared" si="76"/>
        <v>79885</v>
      </c>
      <c r="P974" s="15" t="s">
        <v>18</v>
      </c>
      <c r="Q974" s="15">
        <v>0.06</v>
      </c>
      <c r="R974" s="16">
        <f t="shared" si="77"/>
        <v>4793.0999999999995</v>
      </c>
      <c r="S974" s="15">
        <v>0</v>
      </c>
      <c r="T974" s="15">
        <v>0</v>
      </c>
      <c r="U974" s="17">
        <f t="shared" si="78"/>
        <v>4793.0999999999995</v>
      </c>
      <c r="V974" s="12" t="s">
        <v>58</v>
      </c>
      <c r="W974" s="12">
        <v>116</v>
      </c>
    </row>
    <row r="975" spans="4:23" s="12" customFormat="1" ht="30.75" customHeight="1" thickTop="1" thickBot="1" x14ac:dyDescent="0.35">
      <c r="D975" s="10"/>
      <c r="G975" s="13">
        <f t="shared" si="79"/>
        <v>974</v>
      </c>
      <c r="H975" s="18">
        <v>45940</v>
      </c>
      <c r="I975" s="15" t="s">
        <v>17</v>
      </c>
      <c r="J975" s="15">
        <v>199712.5</v>
      </c>
      <c r="K975" s="15">
        <v>650</v>
      </c>
      <c r="L975" s="15">
        <v>137601.91</v>
      </c>
      <c r="M975" s="16">
        <f t="shared" si="75"/>
        <v>211.69524615384617</v>
      </c>
      <c r="N975" s="15">
        <v>0</v>
      </c>
      <c r="O975" s="16">
        <f t="shared" si="76"/>
        <v>199712.5</v>
      </c>
      <c r="P975" s="15" t="s">
        <v>18</v>
      </c>
      <c r="Q975" s="15">
        <v>0.06</v>
      </c>
      <c r="R975" s="16">
        <f t="shared" si="77"/>
        <v>11982.75</v>
      </c>
      <c r="S975" s="15">
        <v>0</v>
      </c>
      <c r="T975" s="15">
        <v>0</v>
      </c>
      <c r="U975" s="17">
        <f t="shared" si="78"/>
        <v>11982.75</v>
      </c>
      <c r="V975" s="12" t="s">
        <v>58</v>
      </c>
      <c r="W975" s="12">
        <v>116</v>
      </c>
    </row>
    <row r="976" spans="4:23" s="12" customFormat="1" ht="30.75" customHeight="1" thickTop="1" thickBot="1" x14ac:dyDescent="0.35">
      <c r="D976" s="10"/>
      <c r="G976" s="13">
        <f t="shared" si="79"/>
        <v>975</v>
      </c>
      <c r="H976" s="18">
        <v>45940</v>
      </c>
      <c r="I976" s="36" t="s">
        <v>20</v>
      </c>
      <c r="J976" s="15">
        <v>936</v>
      </c>
      <c r="K976" s="15">
        <v>3</v>
      </c>
      <c r="L976" s="15">
        <v>879.84</v>
      </c>
      <c r="M976" s="16">
        <f t="shared" si="75"/>
        <v>293.28000000000003</v>
      </c>
      <c r="N976" s="15">
        <v>0</v>
      </c>
      <c r="O976" s="16">
        <f t="shared" si="76"/>
        <v>936</v>
      </c>
      <c r="P976" s="15" t="s">
        <v>18</v>
      </c>
      <c r="Q976" s="15">
        <v>0.06</v>
      </c>
      <c r="R976" s="16">
        <f t="shared" si="77"/>
        <v>56.16</v>
      </c>
      <c r="S976" s="15">
        <v>0</v>
      </c>
      <c r="T976" s="15">
        <v>0</v>
      </c>
      <c r="U976" s="17">
        <f t="shared" si="78"/>
        <v>56.16</v>
      </c>
      <c r="V976" s="12" t="s">
        <v>58</v>
      </c>
      <c r="W976" s="12">
        <v>116</v>
      </c>
    </row>
    <row r="977" spans="4:23" s="12" customFormat="1" ht="30.75" customHeight="1" thickTop="1" thickBot="1" x14ac:dyDescent="0.35">
      <c r="D977" s="10"/>
      <c r="G977" s="13">
        <f t="shared" si="79"/>
        <v>976</v>
      </c>
      <c r="H977" s="18">
        <v>45940</v>
      </c>
      <c r="I977" s="15" t="s">
        <v>21</v>
      </c>
      <c r="J977" s="15">
        <v>1236</v>
      </c>
      <c r="K977" s="15">
        <v>5</v>
      </c>
      <c r="L977" s="15">
        <v>1161.8399999999999</v>
      </c>
      <c r="M977" s="16">
        <f t="shared" si="75"/>
        <v>232.36799999999999</v>
      </c>
      <c r="N977" s="15">
        <v>0</v>
      </c>
      <c r="O977" s="16">
        <f t="shared" si="76"/>
        <v>1236</v>
      </c>
      <c r="P977" s="15" t="s">
        <v>18</v>
      </c>
      <c r="Q977" s="15">
        <v>0.06</v>
      </c>
      <c r="R977" s="16">
        <f t="shared" si="77"/>
        <v>74.16</v>
      </c>
      <c r="S977" s="15">
        <v>0</v>
      </c>
      <c r="T977" s="15">
        <v>0</v>
      </c>
      <c r="U977" s="17">
        <f t="shared" si="78"/>
        <v>74.16</v>
      </c>
      <c r="V977" s="12" t="s">
        <v>58</v>
      </c>
      <c r="W977" s="12">
        <v>116</v>
      </c>
    </row>
    <row r="978" spans="4:23" s="12" customFormat="1" ht="30.75" customHeight="1" thickTop="1" thickBot="1" x14ac:dyDescent="0.35">
      <c r="D978" s="10"/>
      <c r="G978" s="13">
        <f t="shared" si="79"/>
        <v>977</v>
      </c>
      <c r="H978" s="18">
        <v>45940</v>
      </c>
      <c r="I978" s="15" t="s">
        <v>22</v>
      </c>
      <c r="J978" s="15">
        <v>1346.25</v>
      </c>
      <c r="K978" s="15">
        <v>5</v>
      </c>
      <c r="L978" s="15">
        <v>1265.48</v>
      </c>
      <c r="M978" s="16">
        <f t="shared" si="75"/>
        <v>253.096</v>
      </c>
      <c r="N978" s="15">
        <v>0</v>
      </c>
      <c r="O978" s="16">
        <f t="shared" si="76"/>
        <v>1346.25</v>
      </c>
      <c r="P978" s="15" t="s">
        <v>18</v>
      </c>
      <c r="Q978" s="15">
        <v>0.06</v>
      </c>
      <c r="R978" s="16">
        <f t="shared" si="77"/>
        <v>80.774999999999991</v>
      </c>
      <c r="S978" s="15">
        <v>0</v>
      </c>
      <c r="T978" s="15">
        <v>0</v>
      </c>
      <c r="U978" s="17">
        <f t="shared" si="78"/>
        <v>80.774999999999991</v>
      </c>
      <c r="V978" s="12" t="s">
        <v>58</v>
      </c>
      <c r="W978" s="12">
        <v>116</v>
      </c>
    </row>
    <row r="979" spans="4:23" s="12" customFormat="1" ht="30.75" customHeight="1" thickTop="1" thickBot="1" x14ac:dyDescent="0.35">
      <c r="D979" s="10"/>
      <c r="G979" s="13">
        <f t="shared" si="79"/>
        <v>978</v>
      </c>
      <c r="H979" s="18">
        <v>45940</v>
      </c>
      <c r="I979" s="15" t="s">
        <v>23</v>
      </c>
      <c r="J979" s="15">
        <v>43200</v>
      </c>
      <c r="K979" s="15">
        <v>225</v>
      </c>
      <c r="L979" s="15">
        <v>40608</v>
      </c>
      <c r="M979" s="16">
        <f t="shared" si="75"/>
        <v>180.48</v>
      </c>
      <c r="N979" s="15">
        <v>0</v>
      </c>
      <c r="O979" s="16">
        <f t="shared" si="76"/>
        <v>43200</v>
      </c>
      <c r="P979" s="15" t="s">
        <v>18</v>
      </c>
      <c r="Q979" s="15">
        <v>0.06</v>
      </c>
      <c r="R979" s="16">
        <f t="shared" si="77"/>
        <v>2592</v>
      </c>
      <c r="S979" s="15">
        <v>0</v>
      </c>
      <c r="T979" s="15">
        <v>0</v>
      </c>
      <c r="U979" s="17">
        <f t="shared" si="78"/>
        <v>2592</v>
      </c>
      <c r="V979" s="12" t="s">
        <v>58</v>
      </c>
      <c r="W979" s="12">
        <v>116</v>
      </c>
    </row>
    <row r="980" spans="4:23" s="12" customFormat="1" ht="30.75" customHeight="1" thickTop="1" thickBot="1" x14ac:dyDescent="0.35">
      <c r="D980" s="10"/>
      <c r="G980" s="13">
        <f t="shared" si="79"/>
        <v>979</v>
      </c>
      <c r="H980" s="18">
        <v>45940</v>
      </c>
      <c r="I980" s="15" t="s">
        <v>31</v>
      </c>
      <c r="J980" s="15">
        <v>9600</v>
      </c>
      <c r="K980" s="15">
        <v>50</v>
      </c>
      <c r="L980" s="15">
        <v>9024</v>
      </c>
      <c r="M980" s="16">
        <f t="shared" si="75"/>
        <v>180.48</v>
      </c>
      <c r="N980" s="15">
        <v>0</v>
      </c>
      <c r="O980" s="16">
        <f t="shared" si="76"/>
        <v>9600</v>
      </c>
      <c r="P980" s="15" t="s">
        <v>18</v>
      </c>
      <c r="Q980" s="15">
        <v>0.06</v>
      </c>
      <c r="R980" s="16">
        <f t="shared" si="77"/>
        <v>576</v>
      </c>
      <c r="S980" s="15">
        <v>0</v>
      </c>
      <c r="T980" s="15">
        <v>0</v>
      </c>
      <c r="U980" s="17">
        <f t="shared" si="78"/>
        <v>576</v>
      </c>
      <c r="V980" s="12" t="s">
        <v>58</v>
      </c>
      <c r="W980" s="12">
        <v>116</v>
      </c>
    </row>
    <row r="981" spans="4:23" s="12" customFormat="1" ht="30.75" customHeight="1" thickTop="1" thickBot="1" x14ac:dyDescent="0.35">
      <c r="D981" s="10"/>
      <c r="G981" s="13">
        <f t="shared" si="79"/>
        <v>980</v>
      </c>
      <c r="H981" s="18">
        <v>45940</v>
      </c>
      <c r="I981" s="15" t="s">
        <v>36</v>
      </c>
      <c r="J981" s="15">
        <v>975.12</v>
      </c>
      <c r="K981" s="15">
        <v>3</v>
      </c>
      <c r="L981" s="15">
        <v>916.61</v>
      </c>
      <c r="M981" s="16">
        <f t="shared" si="75"/>
        <v>305.53666666666669</v>
      </c>
      <c r="N981" s="15">
        <v>0</v>
      </c>
      <c r="O981" s="16">
        <f t="shared" si="76"/>
        <v>975.12</v>
      </c>
      <c r="P981" s="15" t="s">
        <v>18</v>
      </c>
      <c r="Q981" s="15">
        <v>0.06</v>
      </c>
      <c r="R981" s="16">
        <f t="shared" si="77"/>
        <v>58.507199999999997</v>
      </c>
      <c r="S981" s="15">
        <v>0</v>
      </c>
      <c r="T981" s="15">
        <v>0</v>
      </c>
      <c r="U981" s="17">
        <f t="shared" si="78"/>
        <v>58.507199999999997</v>
      </c>
      <c r="V981" s="12" t="s">
        <v>58</v>
      </c>
      <c r="W981" s="12">
        <v>116</v>
      </c>
    </row>
    <row r="982" spans="4:23" s="12" customFormat="1" ht="30.75" customHeight="1" thickTop="1" thickBot="1" x14ac:dyDescent="0.35">
      <c r="D982" s="10"/>
      <c r="G982" s="13">
        <f t="shared" si="79"/>
        <v>981</v>
      </c>
      <c r="H982" s="18">
        <v>45940</v>
      </c>
      <c r="I982" s="15" t="s">
        <v>37</v>
      </c>
      <c r="J982" s="15">
        <v>107030</v>
      </c>
      <c r="K982" s="15">
        <v>200</v>
      </c>
      <c r="L982" s="15">
        <v>103819.1</v>
      </c>
      <c r="M982" s="16">
        <f t="shared" si="75"/>
        <v>519.09550000000002</v>
      </c>
      <c r="N982" s="15">
        <v>0</v>
      </c>
      <c r="O982" s="16">
        <f t="shared" si="76"/>
        <v>107030</v>
      </c>
      <c r="P982" s="15" t="s">
        <v>29</v>
      </c>
      <c r="Q982" s="15">
        <v>0.02</v>
      </c>
      <c r="R982" s="16">
        <f t="shared" si="77"/>
        <v>2140.6</v>
      </c>
      <c r="S982" s="15">
        <v>0</v>
      </c>
      <c r="T982" s="15">
        <v>0</v>
      </c>
      <c r="U982" s="17">
        <f t="shared" si="78"/>
        <v>2140.6</v>
      </c>
      <c r="V982" s="12" t="s">
        <v>58</v>
      </c>
      <c r="W982" s="12">
        <v>116</v>
      </c>
    </row>
    <row r="983" spans="4:23" s="12" customFormat="1" ht="30.75" customHeight="1" thickTop="1" thickBot="1" x14ac:dyDescent="0.35">
      <c r="D983" s="10"/>
      <c r="G983" s="13">
        <f t="shared" si="79"/>
        <v>982</v>
      </c>
      <c r="H983" s="18">
        <v>45942</v>
      </c>
      <c r="I983" s="15" t="s">
        <v>30</v>
      </c>
      <c r="J983" s="15">
        <v>76812.5</v>
      </c>
      <c r="K983" s="15">
        <v>250</v>
      </c>
      <c r="L983" s="15">
        <v>52923.81</v>
      </c>
      <c r="M983" s="16">
        <f t="shared" si="75"/>
        <v>211.69523999999998</v>
      </c>
      <c r="N983" s="15">
        <v>0</v>
      </c>
      <c r="O983" s="16">
        <f t="shared" si="76"/>
        <v>76812.5</v>
      </c>
      <c r="P983" s="15" t="s">
        <v>18</v>
      </c>
      <c r="Q983" s="15">
        <v>0.06</v>
      </c>
      <c r="R983" s="16">
        <f t="shared" si="77"/>
        <v>4608.75</v>
      </c>
      <c r="S983" s="15">
        <v>0</v>
      </c>
      <c r="T983" s="15">
        <v>0</v>
      </c>
      <c r="U983" s="17">
        <f t="shared" si="78"/>
        <v>4608.75</v>
      </c>
      <c r="V983" s="12" t="s">
        <v>58</v>
      </c>
      <c r="W983" s="12">
        <v>117</v>
      </c>
    </row>
    <row r="984" spans="4:23" s="12" customFormat="1" ht="30.75" customHeight="1" thickTop="1" thickBot="1" x14ac:dyDescent="0.35">
      <c r="D984" s="10"/>
      <c r="G984" s="13">
        <f t="shared" si="79"/>
        <v>983</v>
      </c>
      <c r="H984" s="18">
        <v>45942</v>
      </c>
      <c r="I984" s="15" t="s">
        <v>17</v>
      </c>
      <c r="J984" s="15">
        <v>92175</v>
      </c>
      <c r="K984" s="15">
        <v>300</v>
      </c>
      <c r="L984" s="15">
        <v>63508.58</v>
      </c>
      <c r="M984" s="16">
        <f t="shared" si="75"/>
        <v>211.69526666666667</v>
      </c>
      <c r="N984" s="15">
        <v>0</v>
      </c>
      <c r="O984" s="16">
        <f t="shared" si="76"/>
        <v>92175</v>
      </c>
      <c r="P984" s="15" t="s">
        <v>18</v>
      </c>
      <c r="Q984" s="15">
        <v>0.06</v>
      </c>
      <c r="R984" s="16">
        <f t="shared" si="77"/>
        <v>5530.5</v>
      </c>
      <c r="S984" s="15">
        <v>0</v>
      </c>
      <c r="T984" s="15">
        <v>0</v>
      </c>
      <c r="U984" s="17">
        <f t="shared" si="78"/>
        <v>5530.5</v>
      </c>
      <c r="V984" s="12" t="s">
        <v>58</v>
      </c>
      <c r="W984" s="12">
        <v>117</v>
      </c>
    </row>
    <row r="985" spans="4:23" s="12" customFormat="1" ht="30.75" customHeight="1" thickTop="1" thickBot="1" x14ac:dyDescent="0.35">
      <c r="D985" s="10"/>
      <c r="G985" s="13">
        <f t="shared" si="79"/>
        <v>984</v>
      </c>
      <c r="H985" s="18">
        <v>45942</v>
      </c>
      <c r="I985" s="36" t="s">
        <v>20</v>
      </c>
      <c r="J985" s="15">
        <v>624</v>
      </c>
      <c r="K985" s="15">
        <v>2</v>
      </c>
      <c r="L985" s="15">
        <v>586.55999999999995</v>
      </c>
      <c r="M985" s="16">
        <f t="shared" si="75"/>
        <v>293.27999999999997</v>
      </c>
      <c r="N985" s="15">
        <v>0</v>
      </c>
      <c r="O985" s="16">
        <f t="shared" si="76"/>
        <v>624</v>
      </c>
      <c r="P985" s="15" t="s">
        <v>18</v>
      </c>
      <c r="Q985" s="15">
        <v>0.06</v>
      </c>
      <c r="R985" s="16">
        <f t="shared" si="77"/>
        <v>37.44</v>
      </c>
      <c r="S985" s="15">
        <v>0</v>
      </c>
      <c r="T985" s="15">
        <v>0</v>
      </c>
      <c r="U985" s="17">
        <f t="shared" si="78"/>
        <v>37.44</v>
      </c>
      <c r="V985" s="12" t="s">
        <v>58</v>
      </c>
      <c r="W985" s="12">
        <v>117</v>
      </c>
    </row>
    <row r="986" spans="4:23" s="12" customFormat="1" ht="30.75" customHeight="1" thickTop="1" thickBot="1" x14ac:dyDescent="0.35">
      <c r="D986" s="10"/>
      <c r="G986" s="13">
        <f t="shared" si="79"/>
        <v>985</v>
      </c>
      <c r="H986" s="18">
        <v>45942</v>
      </c>
      <c r="I986" s="15" t="s">
        <v>22</v>
      </c>
      <c r="J986" s="15">
        <v>1346.25</v>
      </c>
      <c r="K986" s="15">
        <v>5</v>
      </c>
      <c r="L986" s="15">
        <v>1265.48</v>
      </c>
      <c r="M986" s="16">
        <f t="shared" si="75"/>
        <v>253.096</v>
      </c>
      <c r="N986" s="15">
        <v>0</v>
      </c>
      <c r="O986" s="16">
        <f t="shared" si="76"/>
        <v>1346.25</v>
      </c>
      <c r="P986" s="15" t="s">
        <v>18</v>
      </c>
      <c r="Q986" s="15">
        <v>0.06</v>
      </c>
      <c r="R986" s="16">
        <f t="shared" si="77"/>
        <v>80.774999999999991</v>
      </c>
      <c r="S986" s="15">
        <v>0</v>
      </c>
      <c r="T986" s="15">
        <v>0</v>
      </c>
      <c r="U986" s="17">
        <f t="shared" si="78"/>
        <v>80.774999999999991</v>
      </c>
      <c r="V986" s="12" t="s">
        <v>58</v>
      </c>
      <c r="W986" s="12">
        <v>117</v>
      </c>
    </row>
    <row r="987" spans="4:23" s="12" customFormat="1" ht="30.75" customHeight="1" thickTop="1" thickBot="1" x14ac:dyDescent="0.35">
      <c r="D987" s="10"/>
      <c r="G987" s="13">
        <f t="shared" si="79"/>
        <v>986</v>
      </c>
      <c r="H987" s="18">
        <v>45942</v>
      </c>
      <c r="I987" s="15" t="s">
        <v>23</v>
      </c>
      <c r="J987" s="15">
        <v>38400</v>
      </c>
      <c r="K987" s="15">
        <v>200</v>
      </c>
      <c r="L987" s="15">
        <v>36096</v>
      </c>
      <c r="M987" s="16">
        <f t="shared" si="75"/>
        <v>180.48</v>
      </c>
      <c r="N987" s="15">
        <v>0</v>
      </c>
      <c r="O987" s="16">
        <f t="shared" si="76"/>
        <v>38400</v>
      </c>
      <c r="P987" s="15" t="s">
        <v>18</v>
      </c>
      <c r="Q987" s="15">
        <v>0.06</v>
      </c>
      <c r="R987" s="16">
        <f t="shared" si="77"/>
        <v>2304</v>
      </c>
      <c r="S987" s="15">
        <v>0</v>
      </c>
      <c r="T987" s="15">
        <v>0</v>
      </c>
      <c r="U987" s="17">
        <f t="shared" si="78"/>
        <v>2304</v>
      </c>
      <c r="V987" s="12" t="s">
        <v>58</v>
      </c>
      <c r="W987" s="12">
        <v>117</v>
      </c>
    </row>
    <row r="988" spans="4:23" s="12" customFormat="1" ht="30.75" customHeight="1" thickTop="1" thickBot="1" x14ac:dyDescent="0.35">
      <c r="D988" s="10"/>
      <c r="G988" s="13">
        <f t="shared" si="79"/>
        <v>987</v>
      </c>
      <c r="H988" s="18">
        <v>45942</v>
      </c>
      <c r="I988" s="15" t="s">
        <v>24</v>
      </c>
      <c r="J988" s="15">
        <v>16252</v>
      </c>
      <c r="K988" s="15">
        <v>50</v>
      </c>
      <c r="L988" s="15">
        <v>15276.88</v>
      </c>
      <c r="M988" s="16">
        <f t="shared" si="75"/>
        <v>305.5376</v>
      </c>
      <c r="N988" s="15">
        <v>0</v>
      </c>
      <c r="O988" s="16">
        <f t="shared" si="76"/>
        <v>16252</v>
      </c>
      <c r="P988" s="15" t="s">
        <v>18</v>
      </c>
      <c r="Q988" s="15">
        <v>0.06</v>
      </c>
      <c r="R988" s="16">
        <f t="shared" si="77"/>
        <v>975.12</v>
      </c>
      <c r="S988" s="15">
        <v>0</v>
      </c>
      <c r="T988" s="15">
        <v>0</v>
      </c>
      <c r="U988" s="17">
        <f t="shared" si="78"/>
        <v>975.12</v>
      </c>
      <c r="V988" s="12" t="s">
        <v>58</v>
      </c>
      <c r="W988" s="12">
        <v>117</v>
      </c>
    </row>
    <row r="989" spans="4:23" s="12" customFormat="1" ht="30.75" customHeight="1" thickTop="1" thickBot="1" x14ac:dyDescent="0.35">
      <c r="D989" s="10"/>
      <c r="G989" s="13">
        <f t="shared" si="79"/>
        <v>988</v>
      </c>
      <c r="H989" s="18">
        <v>45942</v>
      </c>
      <c r="I989" s="15" t="s">
        <v>31</v>
      </c>
      <c r="J989" s="15">
        <v>3840</v>
      </c>
      <c r="K989" s="15">
        <v>20</v>
      </c>
      <c r="L989" s="15">
        <v>3609.6</v>
      </c>
      <c r="M989" s="16">
        <f t="shared" si="75"/>
        <v>180.48</v>
      </c>
      <c r="N989" s="15">
        <v>0</v>
      </c>
      <c r="O989" s="16">
        <f t="shared" si="76"/>
        <v>3840</v>
      </c>
      <c r="P989" s="15" t="s">
        <v>18</v>
      </c>
      <c r="Q989" s="15">
        <v>0.06</v>
      </c>
      <c r="R989" s="16">
        <f t="shared" si="77"/>
        <v>230.39999999999998</v>
      </c>
      <c r="S989" s="15">
        <v>0</v>
      </c>
      <c r="T989" s="15">
        <v>0</v>
      </c>
      <c r="U989" s="17">
        <f t="shared" si="78"/>
        <v>230.39999999999998</v>
      </c>
      <c r="V989" s="12" t="s">
        <v>58</v>
      </c>
      <c r="W989" s="12">
        <v>117</v>
      </c>
    </row>
    <row r="990" spans="4:23" s="12" customFormat="1" ht="30.75" customHeight="1" thickTop="1" thickBot="1" x14ac:dyDescent="0.35">
      <c r="D990" s="10"/>
      <c r="G990" s="13">
        <f t="shared" si="79"/>
        <v>989</v>
      </c>
      <c r="H990" s="18">
        <v>45942</v>
      </c>
      <c r="I990" s="15" t="s">
        <v>39</v>
      </c>
      <c r="J990" s="15">
        <v>30500</v>
      </c>
      <c r="K990" s="15">
        <v>100</v>
      </c>
      <c r="L990" s="15">
        <v>28670</v>
      </c>
      <c r="M990" s="16">
        <f t="shared" si="75"/>
        <v>286.7</v>
      </c>
      <c r="N990" s="15">
        <v>0</v>
      </c>
      <c r="O990" s="16">
        <f t="shared" si="76"/>
        <v>30500</v>
      </c>
      <c r="P990" s="15" t="s">
        <v>26</v>
      </c>
      <c r="Q990" s="15">
        <v>0.02</v>
      </c>
      <c r="R990" s="16">
        <f t="shared" si="77"/>
        <v>610</v>
      </c>
      <c r="S990" s="15">
        <v>0</v>
      </c>
      <c r="T990" s="15">
        <v>0</v>
      </c>
      <c r="U990" s="17">
        <f t="shared" si="78"/>
        <v>610</v>
      </c>
      <c r="V990" s="12" t="s">
        <v>58</v>
      </c>
      <c r="W990" s="12">
        <v>117</v>
      </c>
    </row>
    <row r="991" spans="4:23" s="12" customFormat="1" ht="30.75" customHeight="1" thickTop="1" thickBot="1" x14ac:dyDescent="0.35">
      <c r="D991" s="10"/>
      <c r="G991" s="13">
        <f t="shared" si="79"/>
        <v>990</v>
      </c>
      <c r="H991" s="18">
        <v>45942</v>
      </c>
      <c r="I991" s="15" t="s">
        <v>41</v>
      </c>
      <c r="J991" s="15">
        <v>67254</v>
      </c>
      <c r="K991" s="15">
        <v>500</v>
      </c>
      <c r="L991" s="15">
        <v>55181.91</v>
      </c>
      <c r="M991" s="16">
        <f t="shared" si="75"/>
        <v>110.36382</v>
      </c>
      <c r="N991" s="15">
        <v>0</v>
      </c>
      <c r="O991" s="16">
        <f t="shared" si="76"/>
        <v>67254</v>
      </c>
      <c r="P991" s="15" t="s">
        <v>26</v>
      </c>
      <c r="Q991" s="15">
        <v>0.02</v>
      </c>
      <c r="R991" s="16">
        <f t="shared" si="77"/>
        <v>1345.08</v>
      </c>
      <c r="S991" s="15">
        <v>0</v>
      </c>
      <c r="T991" s="15">
        <v>0</v>
      </c>
      <c r="U991" s="17">
        <f t="shared" si="78"/>
        <v>1345.08</v>
      </c>
      <c r="V991" s="12" t="s">
        <v>58</v>
      </c>
      <c r="W991" s="12">
        <v>117</v>
      </c>
    </row>
    <row r="992" spans="4:23" s="12" customFormat="1" ht="30.75" customHeight="1" thickTop="1" thickBot="1" x14ac:dyDescent="0.35">
      <c r="D992" s="10"/>
      <c r="G992" s="13">
        <f t="shared" si="79"/>
        <v>991</v>
      </c>
      <c r="H992" s="18">
        <v>45944</v>
      </c>
      <c r="I992" s="15" t="s">
        <v>34</v>
      </c>
      <c r="J992" s="15">
        <v>7627.5</v>
      </c>
      <c r="K992" s="15">
        <v>25</v>
      </c>
      <c r="L992" s="15">
        <v>7246.13</v>
      </c>
      <c r="M992" s="16">
        <f t="shared" si="75"/>
        <v>289.84519999999998</v>
      </c>
      <c r="N992" s="15">
        <v>0</v>
      </c>
      <c r="O992" s="16">
        <f t="shared" si="76"/>
        <v>7627.5</v>
      </c>
      <c r="P992" s="15" t="s">
        <v>33</v>
      </c>
      <c r="Q992" s="15">
        <v>0.01</v>
      </c>
      <c r="R992" s="16">
        <f t="shared" si="77"/>
        <v>76.275000000000006</v>
      </c>
      <c r="S992" s="15">
        <v>0</v>
      </c>
      <c r="T992" s="15">
        <v>0</v>
      </c>
      <c r="U992" s="17">
        <f t="shared" si="78"/>
        <v>76.275000000000006</v>
      </c>
      <c r="V992" s="12" t="s">
        <v>58</v>
      </c>
      <c r="W992" s="12">
        <v>118</v>
      </c>
    </row>
    <row r="993" spans="4:23" s="12" customFormat="1" ht="30.75" customHeight="1" thickTop="1" thickBot="1" x14ac:dyDescent="0.35">
      <c r="D993" s="10"/>
      <c r="G993" s="13">
        <f t="shared" si="79"/>
        <v>992</v>
      </c>
      <c r="H993" s="18">
        <v>45944</v>
      </c>
      <c r="I993" s="15" t="s">
        <v>47</v>
      </c>
      <c r="J993" s="15">
        <v>11163.6</v>
      </c>
      <c r="K993" s="15">
        <v>30</v>
      </c>
      <c r="L993" s="15">
        <v>10493.79</v>
      </c>
      <c r="M993" s="16">
        <f t="shared" si="75"/>
        <v>349.79300000000001</v>
      </c>
      <c r="N993" s="15">
        <v>0</v>
      </c>
      <c r="O993" s="16">
        <f t="shared" si="76"/>
        <v>11163.6</v>
      </c>
      <c r="P993" s="15" t="s">
        <v>26</v>
      </c>
      <c r="Q993" s="15">
        <v>0.02</v>
      </c>
      <c r="R993" s="16">
        <f t="shared" si="77"/>
        <v>223.27200000000002</v>
      </c>
      <c r="S993" s="15">
        <v>0</v>
      </c>
      <c r="T993" s="15">
        <v>0</v>
      </c>
      <c r="U993" s="17">
        <f t="shared" si="78"/>
        <v>223.27200000000002</v>
      </c>
      <c r="V993" s="12" t="s">
        <v>58</v>
      </c>
      <c r="W993" s="12">
        <v>118</v>
      </c>
    </row>
    <row r="994" spans="4:23" s="12" customFormat="1" ht="30.75" customHeight="1" thickTop="1" thickBot="1" x14ac:dyDescent="0.35">
      <c r="D994" s="10"/>
      <c r="G994" s="13">
        <f t="shared" si="79"/>
        <v>993</v>
      </c>
      <c r="H994" s="18">
        <v>45944</v>
      </c>
      <c r="I994" s="15" t="s">
        <v>30</v>
      </c>
      <c r="J994" s="15">
        <v>56841.25</v>
      </c>
      <c r="K994" s="15">
        <v>185</v>
      </c>
      <c r="L994" s="15">
        <v>39163.620000000003</v>
      </c>
      <c r="M994" s="16">
        <f t="shared" si="75"/>
        <v>211.69524324324325</v>
      </c>
      <c r="N994" s="15">
        <v>0</v>
      </c>
      <c r="O994" s="16">
        <f t="shared" si="76"/>
        <v>56841.25</v>
      </c>
      <c r="P994" s="15" t="s">
        <v>18</v>
      </c>
      <c r="Q994" s="15">
        <v>0.06</v>
      </c>
      <c r="R994" s="16">
        <f t="shared" si="77"/>
        <v>3410.4749999999999</v>
      </c>
      <c r="S994" s="15">
        <v>0</v>
      </c>
      <c r="T994" s="15">
        <v>0</v>
      </c>
      <c r="U994" s="17">
        <f t="shared" si="78"/>
        <v>3410.4749999999999</v>
      </c>
      <c r="V994" s="12" t="s">
        <v>58</v>
      </c>
      <c r="W994" s="12">
        <v>118</v>
      </c>
    </row>
    <row r="995" spans="4:23" s="12" customFormat="1" ht="30.75" customHeight="1" thickTop="1" thickBot="1" x14ac:dyDescent="0.35">
      <c r="D995" s="10"/>
      <c r="G995" s="13">
        <f t="shared" si="79"/>
        <v>994</v>
      </c>
      <c r="H995" s="18">
        <v>45944</v>
      </c>
      <c r="I995" s="15" t="s">
        <v>17</v>
      </c>
      <c r="J995" s="15">
        <v>75276.25</v>
      </c>
      <c r="K995" s="15">
        <v>245</v>
      </c>
      <c r="L995" s="15">
        <v>51865.34</v>
      </c>
      <c r="M995" s="16">
        <f t="shared" si="75"/>
        <v>211.69526530612242</v>
      </c>
      <c r="N995" s="15">
        <v>0</v>
      </c>
      <c r="O995" s="16">
        <f t="shared" si="76"/>
        <v>75276.25</v>
      </c>
      <c r="P995" s="15" t="s">
        <v>18</v>
      </c>
      <c r="Q995" s="15">
        <v>0.06</v>
      </c>
      <c r="R995" s="16">
        <f t="shared" si="77"/>
        <v>4516.5749999999998</v>
      </c>
      <c r="S995" s="15">
        <v>0</v>
      </c>
      <c r="T995" s="15">
        <v>0</v>
      </c>
      <c r="U995" s="17">
        <f t="shared" si="78"/>
        <v>4516.5749999999998</v>
      </c>
      <c r="V995" s="12" t="s">
        <v>58</v>
      </c>
      <c r="W995" s="12">
        <v>118</v>
      </c>
    </row>
    <row r="996" spans="4:23" s="12" customFormat="1" ht="30.75" customHeight="1" thickTop="1" thickBot="1" x14ac:dyDescent="0.35">
      <c r="D996" s="10"/>
      <c r="G996" s="13">
        <f t="shared" si="79"/>
        <v>995</v>
      </c>
      <c r="H996" s="18">
        <v>45944</v>
      </c>
      <c r="I996" s="36" t="s">
        <v>20</v>
      </c>
      <c r="J996" s="15">
        <v>624</v>
      </c>
      <c r="K996" s="15">
        <v>2</v>
      </c>
      <c r="L996" s="15">
        <v>586.55999999999995</v>
      </c>
      <c r="M996" s="16">
        <f t="shared" si="75"/>
        <v>293.27999999999997</v>
      </c>
      <c r="N996" s="15">
        <v>0</v>
      </c>
      <c r="O996" s="16">
        <f t="shared" si="76"/>
        <v>624</v>
      </c>
      <c r="P996" s="15" t="s">
        <v>18</v>
      </c>
      <c r="Q996" s="15">
        <v>0.06</v>
      </c>
      <c r="R996" s="16">
        <f t="shared" si="77"/>
        <v>37.44</v>
      </c>
      <c r="S996" s="15">
        <v>0</v>
      </c>
      <c r="T996" s="15">
        <v>0</v>
      </c>
      <c r="U996" s="17">
        <f t="shared" si="78"/>
        <v>37.44</v>
      </c>
      <c r="V996" s="12" t="s">
        <v>58</v>
      </c>
      <c r="W996" s="12">
        <v>118</v>
      </c>
    </row>
    <row r="997" spans="4:23" s="12" customFormat="1" ht="30.75" customHeight="1" thickTop="1" thickBot="1" x14ac:dyDescent="0.35">
      <c r="D997" s="10"/>
      <c r="G997" s="13">
        <f t="shared" si="79"/>
        <v>996</v>
      </c>
      <c r="H997" s="18">
        <v>45944</v>
      </c>
      <c r="I997" s="15" t="s">
        <v>22</v>
      </c>
      <c r="J997" s="15">
        <v>1346.25</v>
      </c>
      <c r="K997" s="15">
        <v>5</v>
      </c>
      <c r="L997" s="15">
        <v>1265.48</v>
      </c>
      <c r="M997" s="16">
        <f t="shared" si="75"/>
        <v>253.096</v>
      </c>
      <c r="N997" s="15">
        <v>0</v>
      </c>
      <c r="O997" s="16">
        <f t="shared" si="76"/>
        <v>1346.25</v>
      </c>
      <c r="P997" s="15" t="s">
        <v>18</v>
      </c>
      <c r="Q997" s="15">
        <v>0.06</v>
      </c>
      <c r="R997" s="16">
        <f t="shared" si="77"/>
        <v>80.774999999999991</v>
      </c>
      <c r="S997" s="15">
        <v>0</v>
      </c>
      <c r="T997" s="15">
        <v>0</v>
      </c>
      <c r="U997" s="17">
        <f t="shared" si="78"/>
        <v>80.774999999999991</v>
      </c>
      <c r="V997" s="12" t="s">
        <v>58</v>
      </c>
      <c r="W997" s="12">
        <v>118</v>
      </c>
    </row>
    <row r="998" spans="4:23" s="12" customFormat="1" ht="30.75" customHeight="1" thickTop="1" thickBot="1" x14ac:dyDescent="0.35">
      <c r="D998" s="10"/>
      <c r="G998" s="13">
        <f t="shared" si="79"/>
        <v>997</v>
      </c>
      <c r="H998" s="18">
        <v>45944</v>
      </c>
      <c r="I998" s="15" t="s">
        <v>23</v>
      </c>
      <c r="J998" s="15">
        <v>36480</v>
      </c>
      <c r="K998" s="15">
        <v>190</v>
      </c>
      <c r="L998" s="15">
        <v>34291.199999999997</v>
      </c>
      <c r="M998" s="16">
        <f t="shared" si="75"/>
        <v>180.48</v>
      </c>
      <c r="N998" s="15">
        <v>0</v>
      </c>
      <c r="O998" s="16">
        <f t="shared" si="76"/>
        <v>36480</v>
      </c>
      <c r="P998" s="15" t="s">
        <v>18</v>
      </c>
      <c r="Q998" s="15">
        <v>0.06</v>
      </c>
      <c r="R998" s="16">
        <f t="shared" si="77"/>
        <v>2188.7999999999997</v>
      </c>
      <c r="S998" s="15">
        <v>0</v>
      </c>
      <c r="T998" s="15">
        <v>0</v>
      </c>
      <c r="U998" s="17">
        <f t="shared" si="78"/>
        <v>2188.7999999999997</v>
      </c>
      <c r="V998" s="12" t="s">
        <v>58</v>
      </c>
      <c r="W998" s="12">
        <v>118</v>
      </c>
    </row>
    <row r="999" spans="4:23" s="12" customFormat="1" ht="30.75" customHeight="1" thickTop="1" thickBot="1" x14ac:dyDescent="0.35">
      <c r="D999" s="10"/>
      <c r="G999" s="13">
        <f t="shared" si="79"/>
        <v>998</v>
      </c>
      <c r="H999" s="18">
        <v>45944</v>
      </c>
      <c r="I999" s="15" t="s">
        <v>31</v>
      </c>
      <c r="J999" s="15">
        <v>5760</v>
      </c>
      <c r="K999" s="15">
        <v>30</v>
      </c>
      <c r="L999" s="15">
        <v>5414.4</v>
      </c>
      <c r="M999" s="16">
        <f t="shared" si="75"/>
        <v>180.48</v>
      </c>
      <c r="N999" s="15">
        <v>0</v>
      </c>
      <c r="O999" s="16">
        <f t="shared" si="76"/>
        <v>5760</v>
      </c>
      <c r="P999" s="15" t="s">
        <v>18</v>
      </c>
      <c r="Q999" s="15">
        <v>0.06</v>
      </c>
      <c r="R999" s="16">
        <f t="shared" si="77"/>
        <v>345.59999999999997</v>
      </c>
      <c r="S999" s="15">
        <v>0</v>
      </c>
      <c r="T999" s="15">
        <v>0</v>
      </c>
      <c r="U999" s="17">
        <f t="shared" si="78"/>
        <v>345.59999999999997</v>
      </c>
      <c r="V999" s="12" t="s">
        <v>58</v>
      </c>
      <c r="W999" s="12">
        <v>118</v>
      </c>
    </row>
    <row r="1000" spans="4:23" s="12" customFormat="1" ht="30.75" customHeight="1" thickTop="1" thickBot="1" x14ac:dyDescent="0.35">
      <c r="D1000" s="10"/>
      <c r="G1000" s="13">
        <f t="shared" si="79"/>
        <v>999</v>
      </c>
      <c r="H1000" s="18">
        <v>45944</v>
      </c>
      <c r="I1000" s="15" t="s">
        <v>36</v>
      </c>
      <c r="J1000" s="15">
        <v>650.08000000000004</v>
      </c>
      <c r="K1000" s="15">
        <v>2</v>
      </c>
      <c r="L1000" s="15">
        <v>611.08000000000004</v>
      </c>
      <c r="M1000" s="16">
        <f t="shared" si="75"/>
        <v>305.54000000000002</v>
      </c>
      <c r="N1000" s="15">
        <v>0</v>
      </c>
      <c r="O1000" s="16">
        <f t="shared" si="76"/>
        <v>650.08000000000004</v>
      </c>
      <c r="P1000" s="15" t="s">
        <v>18</v>
      </c>
      <c r="Q1000" s="15">
        <v>0.06</v>
      </c>
      <c r="R1000" s="16">
        <f t="shared" si="77"/>
        <v>39.004800000000003</v>
      </c>
      <c r="S1000" s="15">
        <v>0</v>
      </c>
      <c r="T1000" s="15">
        <v>0</v>
      </c>
      <c r="U1000" s="17">
        <f t="shared" si="78"/>
        <v>39.004800000000003</v>
      </c>
      <c r="V1000" s="12" t="s">
        <v>58</v>
      </c>
      <c r="W1000" s="12">
        <v>118</v>
      </c>
    </row>
    <row r="1001" spans="4:23" s="12" customFormat="1" ht="30.75" customHeight="1" thickTop="1" thickBot="1" x14ac:dyDescent="0.35">
      <c r="D1001" s="10"/>
      <c r="G1001" s="13">
        <f t="shared" si="79"/>
        <v>1000</v>
      </c>
      <c r="H1001" s="18">
        <v>45944</v>
      </c>
      <c r="I1001" s="15" t="s">
        <v>47</v>
      </c>
      <c r="J1001" s="15">
        <v>24002</v>
      </c>
      <c r="K1001" s="15">
        <v>100</v>
      </c>
      <c r="L1001" s="15">
        <v>20216.68</v>
      </c>
      <c r="M1001" s="16">
        <f t="shared" si="75"/>
        <v>202.16679999999999</v>
      </c>
      <c r="N1001" s="15">
        <v>0</v>
      </c>
      <c r="O1001" s="16">
        <f t="shared" si="76"/>
        <v>24002</v>
      </c>
      <c r="P1001" s="15" t="s">
        <v>26</v>
      </c>
      <c r="Q1001" s="15">
        <v>0.02</v>
      </c>
      <c r="R1001" s="16">
        <f t="shared" si="77"/>
        <v>480.04</v>
      </c>
      <c r="S1001" s="15">
        <v>0</v>
      </c>
      <c r="T1001" s="15">
        <v>0</v>
      </c>
      <c r="U1001" s="17">
        <f t="shared" si="78"/>
        <v>480.04</v>
      </c>
      <c r="V1001" s="12" t="s">
        <v>58</v>
      </c>
      <c r="W1001" s="12">
        <v>118</v>
      </c>
    </row>
    <row r="1002" spans="4:23" s="12" customFormat="1" ht="30.75" customHeight="1" thickTop="1" thickBot="1" x14ac:dyDescent="0.35">
      <c r="D1002" s="10"/>
      <c r="G1002" s="13">
        <f t="shared" si="79"/>
        <v>1001</v>
      </c>
      <c r="H1002" s="18">
        <v>45944</v>
      </c>
      <c r="I1002" s="15" t="s">
        <v>39</v>
      </c>
      <c r="J1002" s="15">
        <v>132011</v>
      </c>
      <c r="K1002" s="15">
        <v>550</v>
      </c>
      <c r="L1002" s="15">
        <v>104592.32000000001</v>
      </c>
      <c r="M1002" s="16">
        <f t="shared" si="75"/>
        <v>190.16785454545456</v>
      </c>
      <c r="N1002" s="15">
        <v>0</v>
      </c>
      <c r="O1002" s="16">
        <f t="shared" si="76"/>
        <v>132011</v>
      </c>
      <c r="P1002" s="15" t="s">
        <v>26</v>
      </c>
      <c r="Q1002" s="15">
        <v>0.02</v>
      </c>
      <c r="R1002" s="16">
        <f t="shared" si="77"/>
        <v>2640.2200000000003</v>
      </c>
      <c r="S1002" s="15">
        <v>0</v>
      </c>
      <c r="T1002" s="15">
        <v>0</v>
      </c>
      <c r="U1002" s="17">
        <f t="shared" si="78"/>
        <v>2640.2200000000003</v>
      </c>
      <c r="V1002" s="12" t="s">
        <v>58</v>
      </c>
      <c r="W1002" s="12">
        <v>118</v>
      </c>
    </row>
    <row r="1003" spans="4:23" s="12" customFormat="1" ht="30.75" customHeight="1" thickTop="1" thickBot="1" x14ac:dyDescent="0.35">
      <c r="D1003" s="10"/>
      <c r="G1003" s="13">
        <f t="shared" si="79"/>
        <v>1002</v>
      </c>
      <c r="H1003" s="18">
        <v>45944</v>
      </c>
      <c r="I1003" s="15" t="s">
        <v>41</v>
      </c>
      <c r="J1003" s="15">
        <v>67254</v>
      </c>
      <c r="K1003" s="15">
        <v>500</v>
      </c>
      <c r="L1003" s="15">
        <v>55181.91</v>
      </c>
      <c r="M1003" s="16">
        <f t="shared" si="75"/>
        <v>110.36382</v>
      </c>
      <c r="N1003" s="15">
        <v>0</v>
      </c>
      <c r="O1003" s="16">
        <f t="shared" si="76"/>
        <v>67254</v>
      </c>
      <c r="P1003" s="15" t="s">
        <v>26</v>
      </c>
      <c r="Q1003" s="15">
        <v>0.02</v>
      </c>
      <c r="R1003" s="16">
        <f t="shared" si="77"/>
        <v>1345.08</v>
      </c>
      <c r="S1003" s="15">
        <v>0</v>
      </c>
      <c r="T1003" s="15">
        <v>0</v>
      </c>
      <c r="U1003" s="17">
        <f t="shared" si="78"/>
        <v>1345.08</v>
      </c>
      <c r="V1003" s="12" t="s">
        <v>58</v>
      </c>
      <c r="W1003" s="12">
        <v>118</v>
      </c>
    </row>
    <row r="1004" spans="4:23" s="12" customFormat="1" ht="30.75" customHeight="1" thickTop="1" thickBot="1" x14ac:dyDescent="0.35">
      <c r="D1004" s="10"/>
      <c r="G1004" s="13">
        <f t="shared" si="79"/>
        <v>1003</v>
      </c>
      <c r="H1004" s="18">
        <v>45947</v>
      </c>
      <c r="I1004" s="15" t="s">
        <v>30</v>
      </c>
      <c r="J1004" s="15">
        <v>55305</v>
      </c>
      <c r="K1004" s="15">
        <v>180</v>
      </c>
      <c r="L1004" s="15">
        <v>38105.15</v>
      </c>
      <c r="M1004" s="16">
        <f t="shared" si="75"/>
        <v>211.69527777777779</v>
      </c>
      <c r="N1004" s="15">
        <v>0</v>
      </c>
      <c r="O1004" s="16">
        <f t="shared" si="76"/>
        <v>55305</v>
      </c>
      <c r="P1004" s="15" t="s">
        <v>18</v>
      </c>
      <c r="Q1004" s="15">
        <v>0.06</v>
      </c>
      <c r="R1004" s="16">
        <f t="shared" si="77"/>
        <v>3318.2999999999997</v>
      </c>
      <c r="S1004" s="15">
        <v>0</v>
      </c>
      <c r="T1004" s="15">
        <v>0</v>
      </c>
      <c r="U1004" s="17">
        <f t="shared" si="78"/>
        <v>3318.2999999999997</v>
      </c>
      <c r="V1004" s="12" t="s">
        <v>58</v>
      </c>
      <c r="W1004" s="12">
        <v>119</v>
      </c>
    </row>
    <row r="1005" spans="4:23" s="12" customFormat="1" ht="30.75" customHeight="1" thickTop="1" thickBot="1" x14ac:dyDescent="0.35">
      <c r="D1005" s="10"/>
      <c r="G1005" s="13">
        <f t="shared" si="79"/>
        <v>1004</v>
      </c>
      <c r="H1005" s="18">
        <v>45947</v>
      </c>
      <c r="I1005" s="15" t="s">
        <v>17</v>
      </c>
      <c r="J1005" s="15">
        <v>138262.5</v>
      </c>
      <c r="K1005" s="15">
        <v>450</v>
      </c>
      <c r="L1005" s="15">
        <v>95262.86</v>
      </c>
      <c r="M1005" s="16">
        <f t="shared" si="75"/>
        <v>211.69524444444446</v>
      </c>
      <c r="N1005" s="15">
        <v>0</v>
      </c>
      <c r="O1005" s="16">
        <f t="shared" si="76"/>
        <v>138262.5</v>
      </c>
      <c r="P1005" s="15" t="s">
        <v>18</v>
      </c>
      <c r="Q1005" s="15">
        <v>0.06</v>
      </c>
      <c r="R1005" s="16">
        <f t="shared" si="77"/>
        <v>8295.75</v>
      </c>
      <c r="S1005" s="15">
        <v>0</v>
      </c>
      <c r="T1005" s="15">
        <v>0</v>
      </c>
      <c r="U1005" s="17">
        <f t="shared" si="78"/>
        <v>8295.75</v>
      </c>
      <c r="V1005" s="12" t="s">
        <v>58</v>
      </c>
      <c r="W1005" s="12">
        <v>119</v>
      </c>
    </row>
    <row r="1006" spans="4:23" s="12" customFormat="1" ht="30.75" customHeight="1" thickTop="1" thickBot="1" x14ac:dyDescent="0.35">
      <c r="D1006" s="10"/>
      <c r="G1006" s="13">
        <f t="shared" si="79"/>
        <v>1005</v>
      </c>
      <c r="H1006" s="18">
        <v>45947</v>
      </c>
      <c r="I1006" s="36" t="s">
        <v>20</v>
      </c>
      <c r="J1006" s="15">
        <v>936</v>
      </c>
      <c r="K1006" s="15">
        <v>3</v>
      </c>
      <c r="L1006" s="15">
        <v>879.84</v>
      </c>
      <c r="M1006" s="16">
        <f t="shared" si="75"/>
        <v>293.28000000000003</v>
      </c>
      <c r="N1006" s="15">
        <v>0</v>
      </c>
      <c r="O1006" s="16">
        <f t="shared" si="76"/>
        <v>936</v>
      </c>
      <c r="P1006" s="15" t="s">
        <v>18</v>
      </c>
      <c r="Q1006" s="15">
        <v>0.06</v>
      </c>
      <c r="R1006" s="16">
        <f t="shared" si="77"/>
        <v>56.16</v>
      </c>
      <c r="S1006" s="15">
        <v>0</v>
      </c>
      <c r="T1006" s="15">
        <v>0</v>
      </c>
      <c r="U1006" s="17">
        <f t="shared" si="78"/>
        <v>56.16</v>
      </c>
      <c r="V1006" s="12" t="s">
        <v>58</v>
      </c>
      <c r="W1006" s="12">
        <v>119</v>
      </c>
    </row>
    <row r="1007" spans="4:23" s="12" customFormat="1" ht="30.75" customHeight="1" thickTop="1" thickBot="1" x14ac:dyDescent="0.35">
      <c r="D1007" s="10"/>
      <c r="G1007" s="13">
        <f t="shared" si="79"/>
        <v>1006</v>
      </c>
      <c r="H1007" s="18">
        <v>45947</v>
      </c>
      <c r="I1007" s="15" t="s">
        <v>21</v>
      </c>
      <c r="J1007" s="15">
        <v>1236</v>
      </c>
      <c r="K1007" s="15">
        <v>5</v>
      </c>
      <c r="L1007" s="15">
        <v>1161.8399999999999</v>
      </c>
      <c r="M1007" s="16">
        <f t="shared" si="75"/>
        <v>232.36799999999999</v>
      </c>
      <c r="N1007" s="15">
        <v>0</v>
      </c>
      <c r="O1007" s="16">
        <f t="shared" si="76"/>
        <v>1236</v>
      </c>
      <c r="P1007" s="15" t="s">
        <v>18</v>
      </c>
      <c r="Q1007" s="15">
        <v>0.06</v>
      </c>
      <c r="R1007" s="16">
        <f t="shared" si="77"/>
        <v>74.16</v>
      </c>
      <c r="S1007" s="15">
        <v>0</v>
      </c>
      <c r="T1007" s="15">
        <v>0</v>
      </c>
      <c r="U1007" s="17">
        <f t="shared" si="78"/>
        <v>74.16</v>
      </c>
      <c r="V1007" s="12" t="s">
        <v>58</v>
      </c>
      <c r="W1007" s="12">
        <v>119</v>
      </c>
    </row>
    <row r="1008" spans="4:23" s="12" customFormat="1" ht="30.75" customHeight="1" thickTop="1" thickBot="1" x14ac:dyDescent="0.35">
      <c r="D1008" s="10"/>
      <c r="G1008" s="13">
        <f t="shared" si="79"/>
        <v>1007</v>
      </c>
      <c r="H1008" s="18">
        <v>45947</v>
      </c>
      <c r="I1008" s="15" t="s">
        <v>22</v>
      </c>
      <c r="J1008" s="15">
        <v>1346.25</v>
      </c>
      <c r="K1008" s="15">
        <v>5</v>
      </c>
      <c r="L1008" s="15">
        <v>1265.48</v>
      </c>
      <c r="M1008" s="16">
        <f t="shared" si="75"/>
        <v>253.096</v>
      </c>
      <c r="N1008" s="15">
        <v>0</v>
      </c>
      <c r="O1008" s="16">
        <f t="shared" si="76"/>
        <v>1346.25</v>
      </c>
      <c r="P1008" s="15" t="s">
        <v>18</v>
      </c>
      <c r="Q1008" s="15">
        <v>0.06</v>
      </c>
      <c r="R1008" s="16">
        <f t="shared" si="77"/>
        <v>80.774999999999991</v>
      </c>
      <c r="S1008" s="15">
        <v>0</v>
      </c>
      <c r="T1008" s="15">
        <v>0</v>
      </c>
      <c r="U1008" s="17">
        <f t="shared" si="78"/>
        <v>80.774999999999991</v>
      </c>
      <c r="V1008" s="12" t="s">
        <v>58</v>
      </c>
      <c r="W1008" s="12">
        <v>119</v>
      </c>
    </row>
    <row r="1009" spans="4:23" s="12" customFormat="1" ht="30.75" customHeight="1" thickTop="1" thickBot="1" x14ac:dyDescent="0.35">
      <c r="D1009" s="10"/>
      <c r="G1009" s="13">
        <f t="shared" si="79"/>
        <v>1008</v>
      </c>
      <c r="H1009" s="18">
        <v>45947</v>
      </c>
      <c r="I1009" s="15" t="s">
        <v>23</v>
      </c>
      <c r="J1009" s="15">
        <v>57600</v>
      </c>
      <c r="K1009" s="15">
        <v>300</v>
      </c>
      <c r="L1009" s="15">
        <v>50688</v>
      </c>
      <c r="M1009" s="16">
        <f t="shared" si="75"/>
        <v>168.96</v>
      </c>
      <c r="N1009" s="15">
        <v>0</v>
      </c>
      <c r="O1009" s="16">
        <f t="shared" si="76"/>
        <v>57600</v>
      </c>
      <c r="P1009" s="15" t="s">
        <v>18</v>
      </c>
      <c r="Q1009" s="15">
        <v>0.06</v>
      </c>
      <c r="R1009" s="16">
        <f t="shared" si="77"/>
        <v>3456</v>
      </c>
      <c r="S1009" s="15">
        <v>0</v>
      </c>
      <c r="T1009" s="15">
        <v>0</v>
      </c>
      <c r="U1009" s="17">
        <f t="shared" si="78"/>
        <v>3456</v>
      </c>
      <c r="V1009" s="12" t="s">
        <v>58</v>
      </c>
      <c r="W1009" s="12">
        <v>119</v>
      </c>
    </row>
    <row r="1010" spans="4:23" s="12" customFormat="1" ht="30.75" customHeight="1" thickTop="1" thickBot="1" x14ac:dyDescent="0.35">
      <c r="D1010" s="10"/>
      <c r="G1010" s="13">
        <f t="shared" si="79"/>
        <v>1009</v>
      </c>
      <c r="H1010" s="18">
        <v>45947</v>
      </c>
      <c r="I1010" s="15" t="s">
        <v>24</v>
      </c>
      <c r="J1010" s="15">
        <v>9751.2000000000007</v>
      </c>
      <c r="K1010" s="15">
        <v>30</v>
      </c>
      <c r="L1010" s="15">
        <v>9166.1299999999992</v>
      </c>
      <c r="M1010" s="16">
        <f t="shared" si="75"/>
        <v>305.53766666666667</v>
      </c>
      <c r="N1010" s="15">
        <v>0</v>
      </c>
      <c r="O1010" s="16">
        <f t="shared" si="76"/>
        <v>9751.2000000000007</v>
      </c>
      <c r="P1010" s="15" t="s">
        <v>18</v>
      </c>
      <c r="Q1010" s="15">
        <v>0.06</v>
      </c>
      <c r="R1010" s="16">
        <f t="shared" si="77"/>
        <v>585.072</v>
      </c>
      <c r="S1010" s="15">
        <v>0</v>
      </c>
      <c r="T1010" s="15">
        <v>0</v>
      </c>
      <c r="U1010" s="17">
        <f t="shared" si="78"/>
        <v>585.072</v>
      </c>
      <c r="V1010" s="12" t="s">
        <v>58</v>
      </c>
      <c r="W1010" s="12">
        <v>119</v>
      </c>
    </row>
    <row r="1011" spans="4:23" s="12" customFormat="1" ht="30.75" customHeight="1" thickTop="1" thickBot="1" x14ac:dyDescent="0.35">
      <c r="D1011" s="10"/>
      <c r="G1011" s="13">
        <f t="shared" si="79"/>
        <v>1010</v>
      </c>
      <c r="H1011" s="18">
        <v>45947</v>
      </c>
      <c r="I1011" s="15" t="s">
        <v>31</v>
      </c>
      <c r="J1011" s="15">
        <v>9600</v>
      </c>
      <c r="K1011" s="15">
        <v>50</v>
      </c>
      <c r="L1011" s="15">
        <v>9024</v>
      </c>
      <c r="M1011" s="16">
        <f t="shared" si="75"/>
        <v>180.48</v>
      </c>
      <c r="N1011" s="15">
        <v>0</v>
      </c>
      <c r="O1011" s="16">
        <f t="shared" si="76"/>
        <v>9600</v>
      </c>
      <c r="P1011" s="15" t="s">
        <v>18</v>
      </c>
      <c r="Q1011" s="15">
        <v>0.06</v>
      </c>
      <c r="R1011" s="16">
        <f t="shared" si="77"/>
        <v>576</v>
      </c>
      <c r="S1011" s="15">
        <v>0</v>
      </c>
      <c r="T1011" s="15">
        <v>0</v>
      </c>
      <c r="U1011" s="17">
        <f t="shared" si="78"/>
        <v>576</v>
      </c>
      <c r="V1011" s="12" t="s">
        <v>58</v>
      </c>
      <c r="W1011" s="12">
        <v>119</v>
      </c>
    </row>
    <row r="1012" spans="4:23" s="12" customFormat="1" ht="30.75" customHeight="1" thickTop="1" thickBot="1" x14ac:dyDescent="0.35">
      <c r="D1012" s="10"/>
      <c r="G1012" s="13">
        <f t="shared" si="79"/>
        <v>1011</v>
      </c>
      <c r="H1012" s="18">
        <v>45947</v>
      </c>
      <c r="I1012" s="15" t="s">
        <v>36</v>
      </c>
      <c r="J1012" s="15">
        <v>975.12</v>
      </c>
      <c r="K1012" s="15">
        <v>3</v>
      </c>
      <c r="L1012" s="15">
        <v>916.61</v>
      </c>
      <c r="M1012" s="16">
        <f t="shared" si="75"/>
        <v>305.53666666666669</v>
      </c>
      <c r="N1012" s="15">
        <v>0</v>
      </c>
      <c r="O1012" s="16">
        <f t="shared" si="76"/>
        <v>975.12</v>
      </c>
      <c r="P1012" s="15" t="s">
        <v>18</v>
      </c>
      <c r="Q1012" s="15">
        <v>0.06</v>
      </c>
      <c r="R1012" s="16">
        <f t="shared" si="77"/>
        <v>58.507199999999997</v>
      </c>
      <c r="S1012" s="15">
        <v>0</v>
      </c>
      <c r="T1012" s="15">
        <v>0</v>
      </c>
      <c r="U1012" s="17">
        <f t="shared" si="78"/>
        <v>58.507199999999997</v>
      </c>
      <c r="V1012" s="12" t="s">
        <v>58</v>
      </c>
      <c r="W1012" s="12">
        <v>119</v>
      </c>
    </row>
    <row r="1013" spans="4:23" s="12" customFormat="1" ht="30.75" customHeight="1" thickTop="1" thickBot="1" x14ac:dyDescent="0.35">
      <c r="D1013" s="10"/>
      <c r="G1013" s="13">
        <f t="shared" si="79"/>
        <v>1012</v>
      </c>
      <c r="H1013" s="18">
        <v>45949</v>
      </c>
      <c r="I1013" s="15" t="s">
        <v>30</v>
      </c>
      <c r="J1013" s="15">
        <v>95247.5</v>
      </c>
      <c r="K1013" s="15">
        <v>310</v>
      </c>
      <c r="L1013" s="15">
        <v>65625.53</v>
      </c>
      <c r="M1013" s="16">
        <f t="shared" si="75"/>
        <v>211.69525806451614</v>
      </c>
      <c r="N1013" s="15">
        <v>0</v>
      </c>
      <c r="O1013" s="16">
        <f t="shared" si="76"/>
        <v>95247.5</v>
      </c>
      <c r="P1013" s="15" t="s">
        <v>18</v>
      </c>
      <c r="Q1013" s="15">
        <v>0.06</v>
      </c>
      <c r="R1013" s="16">
        <f t="shared" si="77"/>
        <v>5714.8499999999995</v>
      </c>
      <c r="S1013" s="15">
        <v>0</v>
      </c>
      <c r="T1013" s="15">
        <v>0</v>
      </c>
      <c r="U1013" s="17">
        <f t="shared" si="78"/>
        <v>5714.8499999999995</v>
      </c>
      <c r="V1013" s="12" t="s">
        <v>58</v>
      </c>
      <c r="W1013" s="12">
        <v>120</v>
      </c>
    </row>
    <row r="1014" spans="4:23" s="12" customFormat="1" ht="30.75" customHeight="1" thickTop="1" thickBot="1" x14ac:dyDescent="0.35">
      <c r="D1014" s="10"/>
      <c r="G1014" s="13">
        <f t="shared" si="79"/>
        <v>1013</v>
      </c>
      <c r="H1014" s="18">
        <v>45949</v>
      </c>
      <c r="I1014" s="15" t="s">
        <v>17</v>
      </c>
      <c r="J1014" s="15">
        <v>92175</v>
      </c>
      <c r="K1014" s="15">
        <v>300</v>
      </c>
      <c r="L1014" s="15">
        <v>63508.58</v>
      </c>
      <c r="M1014" s="16">
        <f t="shared" si="75"/>
        <v>211.69526666666667</v>
      </c>
      <c r="N1014" s="15">
        <v>0</v>
      </c>
      <c r="O1014" s="16">
        <f t="shared" si="76"/>
        <v>92175</v>
      </c>
      <c r="P1014" s="15" t="s">
        <v>18</v>
      </c>
      <c r="Q1014" s="15">
        <v>0.06</v>
      </c>
      <c r="R1014" s="16">
        <f t="shared" si="77"/>
        <v>5530.5</v>
      </c>
      <c r="S1014" s="15">
        <v>0</v>
      </c>
      <c r="T1014" s="15">
        <v>0</v>
      </c>
      <c r="U1014" s="17">
        <f t="shared" si="78"/>
        <v>5530.5</v>
      </c>
      <c r="V1014" s="12" t="s">
        <v>58</v>
      </c>
      <c r="W1014" s="12">
        <v>120</v>
      </c>
    </row>
    <row r="1015" spans="4:23" s="12" customFormat="1" ht="30.75" customHeight="1" thickTop="1" thickBot="1" x14ac:dyDescent="0.35">
      <c r="D1015" s="10"/>
      <c r="G1015" s="13">
        <f t="shared" si="79"/>
        <v>1014</v>
      </c>
      <c r="H1015" s="18">
        <v>45949</v>
      </c>
      <c r="I1015" s="15" t="s">
        <v>21</v>
      </c>
      <c r="J1015" s="15">
        <v>741.6</v>
      </c>
      <c r="K1015" s="15">
        <v>3</v>
      </c>
      <c r="L1015" s="15">
        <v>697.1</v>
      </c>
      <c r="M1015" s="16">
        <f t="shared" si="75"/>
        <v>232.36666666666667</v>
      </c>
      <c r="N1015" s="15">
        <v>0</v>
      </c>
      <c r="O1015" s="16">
        <f t="shared" si="76"/>
        <v>741.6</v>
      </c>
      <c r="P1015" s="15" t="s">
        <v>18</v>
      </c>
      <c r="Q1015" s="15">
        <v>0.06</v>
      </c>
      <c r="R1015" s="16">
        <f t="shared" si="77"/>
        <v>44.496000000000002</v>
      </c>
      <c r="S1015" s="15">
        <v>0</v>
      </c>
      <c r="T1015" s="15">
        <v>0</v>
      </c>
      <c r="U1015" s="17">
        <f t="shared" si="78"/>
        <v>44.496000000000002</v>
      </c>
      <c r="V1015" s="12" t="s">
        <v>58</v>
      </c>
      <c r="W1015" s="12">
        <v>120</v>
      </c>
    </row>
    <row r="1016" spans="4:23" s="12" customFormat="1" ht="30.75" customHeight="1" thickTop="1" thickBot="1" x14ac:dyDescent="0.35">
      <c r="D1016" s="10"/>
      <c r="G1016" s="13">
        <f t="shared" si="79"/>
        <v>1015</v>
      </c>
      <c r="H1016" s="18">
        <v>45949</v>
      </c>
      <c r="I1016" s="15" t="s">
        <v>22</v>
      </c>
      <c r="J1016" s="15">
        <v>2692.5</v>
      </c>
      <c r="K1016" s="15">
        <v>10</v>
      </c>
      <c r="L1016" s="15">
        <v>2530.9499999999998</v>
      </c>
      <c r="M1016" s="16">
        <f t="shared" si="75"/>
        <v>253.09499999999997</v>
      </c>
      <c r="N1016" s="15">
        <v>0</v>
      </c>
      <c r="O1016" s="16">
        <f t="shared" si="76"/>
        <v>2692.5</v>
      </c>
      <c r="P1016" s="15" t="s">
        <v>18</v>
      </c>
      <c r="Q1016" s="15">
        <v>0.06</v>
      </c>
      <c r="R1016" s="16">
        <f t="shared" si="77"/>
        <v>161.54999999999998</v>
      </c>
      <c r="S1016" s="15">
        <v>0</v>
      </c>
      <c r="T1016" s="15">
        <v>0</v>
      </c>
      <c r="U1016" s="17">
        <f t="shared" si="78"/>
        <v>161.54999999999998</v>
      </c>
      <c r="V1016" s="12" t="s">
        <v>58</v>
      </c>
      <c r="W1016" s="12">
        <v>120</v>
      </c>
    </row>
    <row r="1017" spans="4:23" s="12" customFormat="1" ht="30.75" customHeight="1" thickTop="1" thickBot="1" x14ac:dyDescent="0.35">
      <c r="D1017" s="10"/>
      <c r="G1017" s="13">
        <f t="shared" si="79"/>
        <v>1016</v>
      </c>
      <c r="H1017" s="18">
        <v>45949</v>
      </c>
      <c r="I1017" s="15" t="s">
        <v>23</v>
      </c>
      <c r="J1017" s="15">
        <v>57600</v>
      </c>
      <c r="K1017" s="15">
        <v>300</v>
      </c>
      <c r="L1017" s="15">
        <v>50688</v>
      </c>
      <c r="M1017" s="16">
        <f t="shared" si="75"/>
        <v>168.96</v>
      </c>
      <c r="N1017" s="15">
        <v>0</v>
      </c>
      <c r="O1017" s="16">
        <f t="shared" si="76"/>
        <v>57600</v>
      </c>
      <c r="P1017" s="15" t="s">
        <v>18</v>
      </c>
      <c r="Q1017" s="15">
        <v>0.06</v>
      </c>
      <c r="R1017" s="16">
        <f t="shared" si="77"/>
        <v>3456</v>
      </c>
      <c r="S1017" s="15">
        <v>0</v>
      </c>
      <c r="T1017" s="15">
        <v>0</v>
      </c>
      <c r="U1017" s="17">
        <f t="shared" si="78"/>
        <v>3456</v>
      </c>
      <c r="V1017" s="12" t="s">
        <v>58</v>
      </c>
      <c r="W1017" s="12">
        <v>120</v>
      </c>
    </row>
    <row r="1018" spans="4:23" s="12" customFormat="1" ht="30.75" customHeight="1" thickTop="1" thickBot="1" x14ac:dyDescent="0.35">
      <c r="D1018" s="10"/>
      <c r="G1018" s="13">
        <f t="shared" si="79"/>
        <v>1017</v>
      </c>
      <c r="H1018" s="18">
        <v>45949</v>
      </c>
      <c r="I1018" s="15" t="s">
        <v>24</v>
      </c>
      <c r="J1018" s="15">
        <v>16252</v>
      </c>
      <c r="K1018" s="15">
        <v>50</v>
      </c>
      <c r="L1018" s="15">
        <v>15276.88</v>
      </c>
      <c r="M1018" s="16">
        <f t="shared" si="75"/>
        <v>305.5376</v>
      </c>
      <c r="N1018" s="15">
        <v>0</v>
      </c>
      <c r="O1018" s="16">
        <f t="shared" si="76"/>
        <v>16252</v>
      </c>
      <c r="P1018" s="15" t="s">
        <v>18</v>
      </c>
      <c r="Q1018" s="15">
        <v>0.06</v>
      </c>
      <c r="R1018" s="16">
        <f t="shared" si="77"/>
        <v>975.12</v>
      </c>
      <c r="S1018" s="15">
        <v>0</v>
      </c>
      <c r="T1018" s="15">
        <v>0</v>
      </c>
      <c r="U1018" s="17">
        <f t="shared" si="78"/>
        <v>975.12</v>
      </c>
      <c r="V1018" s="12" t="s">
        <v>58</v>
      </c>
      <c r="W1018" s="12">
        <v>120</v>
      </c>
    </row>
    <row r="1019" spans="4:23" s="12" customFormat="1" ht="30.75" customHeight="1" thickTop="1" thickBot="1" x14ac:dyDescent="0.35">
      <c r="D1019" s="10"/>
      <c r="G1019" s="13">
        <f t="shared" si="79"/>
        <v>1018</v>
      </c>
      <c r="H1019" s="18">
        <v>45949</v>
      </c>
      <c r="I1019" s="15" t="s">
        <v>36</v>
      </c>
      <c r="J1019" s="15">
        <v>650.08000000000004</v>
      </c>
      <c r="K1019" s="15">
        <v>2</v>
      </c>
      <c r="L1019" s="15">
        <v>611.08000000000004</v>
      </c>
      <c r="M1019" s="16">
        <f t="shared" si="75"/>
        <v>305.54000000000002</v>
      </c>
      <c r="N1019" s="15">
        <v>0</v>
      </c>
      <c r="O1019" s="16">
        <f t="shared" si="76"/>
        <v>650.08000000000004</v>
      </c>
      <c r="P1019" s="15" t="s">
        <v>18</v>
      </c>
      <c r="Q1019" s="15">
        <v>0.06</v>
      </c>
      <c r="R1019" s="16">
        <f t="shared" si="77"/>
        <v>39.004800000000003</v>
      </c>
      <c r="S1019" s="15">
        <v>0</v>
      </c>
      <c r="T1019" s="15">
        <v>0</v>
      </c>
      <c r="U1019" s="17">
        <f t="shared" si="78"/>
        <v>39.004800000000003</v>
      </c>
      <c r="V1019" s="12" t="s">
        <v>58</v>
      </c>
      <c r="W1019" s="12">
        <v>120</v>
      </c>
    </row>
    <row r="1020" spans="4:23" s="12" customFormat="1" ht="30.75" customHeight="1" thickTop="1" thickBot="1" x14ac:dyDescent="0.35">
      <c r="D1020" s="10"/>
      <c r="G1020" s="13">
        <f t="shared" si="79"/>
        <v>1019</v>
      </c>
      <c r="H1020" s="18">
        <v>45951</v>
      </c>
      <c r="I1020" s="15" t="s">
        <v>30</v>
      </c>
      <c r="J1020" s="15">
        <v>61450</v>
      </c>
      <c r="K1020" s="15">
        <v>200</v>
      </c>
      <c r="L1020" s="15">
        <v>42339.05</v>
      </c>
      <c r="M1020" s="16">
        <f t="shared" si="75"/>
        <v>211.69525000000002</v>
      </c>
      <c r="N1020" s="15">
        <v>0</v>
      </c>
      <c r="O1020" s="16">
        <f t="shared" si="76"/>
        <v>61450</v>
      </c>
      <c r="P1020" s="15" t="s">
        <v>18</v>
      </c>
      <c r="Q1020" s="15">
        <v>0.06</v>
      </c>
      <c r="R1020" s="16">
        <f t="shared" si="77"/>
        <v>3687</v>
      </c>
      <c r="S1020" s="15">
        <v>0</v>
      </c>
      <c r="T1020" s="15">
        <v>0</v>
      </c>
      <c r="U1020" s="17">
        <f t="shared" si="78"/>
        <v>3687</v>
      </c>
      <c r="V1020" s="12" t="s">
        <v>58</v>
      </c>
      <c r="W1020" s="12">
        <v>121</v>
      </c>
    </row>
    <row r="1021" spans="4:23" s="12" customFormat="1" ht="30.75" customHeight="1" thickTop="1" thickBot="1" x14ac:dyDescent="0.35">
      <c r="D1021" s="10"/>
      <c r="G1021" s="13">
        <f t="shared" si="79"/>
        <v>1020</v>
      </c>
      <c r="H1021" s="18">
        <v>45951</v>
      </c>
      <c r="I1021" s="15" t="s">
        <v>17</v>
      </c>
      <c r="J1021" s="15">
        <v>153932.25</v>
      </c>
      <c r="K1021" s="15">
        <v>501</v>
      </c>
      <c r="L1021" s="15">
        <v>106059.32</v>
      </c>
      <c r="M1021" s="16">
        <f t="shared" si="75"/>
        <v>211.69524950099802</v>
      </c>
      <c r="N1021" s="15">
        <v>0</v>
      </c>
      <c r="O1021" s="16">
        <f t="shared" si="76"/>
        <v>153932.25</v>
      </c>
      <c r="P1021" s="15" t="s">
        <v>18</v>
      </c>
      <c r="Q1021" s="15">
        <v>0.06</v>
      </c>
      <c r="R1021" s="16">
        <f t="shared" si="77"/>
        <v>9235.9349999999995</v>
      </c>
      <c r="S1021" s="15">
        <v>0</v>
      </c>
      <c r="T1021" s="15">
        <v>0</v>
      </c>
      <c r="U1021" s="17">
        <f t="shared" si="78"/>
        <v>9235.9349999999995</v>
      </c>
      <c r="V1021" s="12" t="s">
        <v>58</v>
      </c>
      <c r="W1021" s="12">
        <v>121</v>
      </c>
    </row>
    <row r="1022" spans="4:23" s="12" customFormat="1" ht="30.75" customHeight="1" thickTop="1" thickBot="1" x14ac:dyDescent="0.35">
      <c r="D1022" s="10"/>
      <c r="G1022" s="13">
        <f t="shared" si="79"/>
        <v>1021</v>
      </c>
      <c r="H1022" s="18">
        <v>45951</v>
      </c>
      <c r="I1022" s="36" t="s">
        <v>20</v>
      </c>
      <c r="J1022" s="15">
        <v>624</v>
      </c>
      <c r="K1022" s="15">
        <v>2</v>
      </c>
      <c r="L1022" s="15">
        <v>586.55999999999995</v>
      </c>
      <c r="M1022" s="16">
        <f t="shared" si="75"/>
        <v>293.27999999999997</v>
      </c>
      <c r="N1022" s="15">
        <v>0</v>
      </c>
      <c r="O1022" s="16">
        <f t="shared" si="76"/>
        <v>624</v>
      </c>
      <c r="P1022" s="15" t="s">
        <v>18</v>
      </c>
      <c r="Q1022" s="15">
        <v>0.06</v>
      </c>
      <c r="R1022" s="16">
        <f t="shared" si="77"/>
        <v>37.44</v>
      </c>
      <c r="S1022" s="15">
        <v>0</v>
      </c>
      <c r="T1022" s="15">
        <v>0</v>
      </c>
      <c r="U1022" s="17">
        <f t="shared" si="78"/>
        <v>37.44</v>
      </c>
      <c r="V1022" s="12" t="s">
        <v>58</v>
      </c>
      <c r="W1022" s="12">
        <v>121</v>
      </c>
    </row>
    <row r="1023" spans="4:23" s="12" customFormat="1" ht="30.75" customHeight="1" thickTop="1" thickBot="1" x14ac:dyDescent="0.35">
      <c r="D1023" s="10"/>
      <c r="G1023" s="13">
        <f t="shared" si="79"/>
        <v>1022</v>
      </c>
      <c r="H1023" s="18">
        <v>45951</v>
      </c>
      <c r="I1023" s="15" t="s">
        <v>21</v>
      </c>
      <c r="J1023" s="15">
        <v>1236</v>
      </c>
      <c r="K1023" s="15">
        <v>5</v>
      </c>
      <c r="L1023" s="15">
        <v>1161.8399999999999</v>
      </c>
      <c r="M1023" s="16">
        <f t="shared" si="75"/>
        <v>232.36799999999999</v>
      </c>
      <c r="N1023" s="15">
        <v>0</v>
      </c>
      <c r="O1023" s="16">
        <f t="shared" si="76"/>
        <v>1236</v>
      </c>
      <c r="P1023" s="15" t="s">
        <v>18</v>
      </c>
      <c r="Q1023" s="15">
        <v>0.06</v>
      </c>
      <c r="R1023" s="16">
        <f t="shared" si="77"/>
        <v>74.16</v>
      </c>
      <c r="S1023" s="15">
        <v>0</v>
      </c>
      <c r="T1023" s="15">
        <v>0</v>
      </c>
      <c r="U1023" s="17">
        <f t="shared" si="78"/>
        <v>74.16</v>
      </c>
      <c r="V1023" s="12" t="s">
        <v>58</v>
      </c>
      <c r="W1023" s="12">
        <v>121</v>
      </c>
    </row>
    <row r="1024" spans="4:23" s="12" customFormat="1" ht="30.75" customHeight="1" thickTop="1" thickBot="1" x14ac:dyDescent="0.35">
      <c r="D1024" s="10"/>
      <c r="G1024" s="13">
        <f t="shared" si="79"/>
        <v>1023</v>
      </c>
      <c r="H1024" s="18">
        <v>45951</v>
      </c>
      <c r="I1024" s="15" t="s">
        <v>22</v>
      </c>
      <c r="J1024" s="15">
        <v>2692.5</v>
      </c>
      <c r="K1024" s="15">
        <v>10</v>
      </c>
      <c r="L1024" s="15">
        <v>2530.9499999999998</v>
      </c>
      <c r="M1024" s="16">
        <f t="shared" si="75"/>
        <v>253.09499999999997</v>
      </c>
      <c r="N1024" s="15">
        <v>0</v>
      </c>
      <c r="O1024" s="16">
        <f t="shared" si="76"/>
        <v>2692.5</v>
      </c>
      <c r="P1024" s="15" t="s">
        <v>18</v>
      </c>
      <c r="Q1024" s="15">
        <v>0.06</v>
      </c>
      <c r="R1024" s="16">
        <f t="shared" si="77"/>
        <v>161.54999999999998</v>
      </c>
      <c r="S1024" s="15">
        <v>0</v>
      </c>
      <c r="T1024" s="15">
        <v>0</v>
      </c>
      <c r="U1024" s="17">
        <f t="shared" si="78"/>
        <v>161.54999999999998</v>
      </c>
      <c r="V1024" s="12" t="s">
        <v>58</v>
      </c>
      <c r="W1024" s="12">
        <v>121</v>
      </c>
    </row>
    <row r="1025" spans="4:23" s="12" customFormat="1" ht="30.75" customHeight="1" thickTop="1" thickBot="1" x14ac:dyDescent="0.35">
      <c r="D1025" s="10"/>
      <c r="G1025" s="13">
        <f t="shared" si="79"/>
        <v>1024</v>
      </c>
      <c r="H1025" s="18">
        <v>45951</v>
      </c>
      <c r="I1025" s="15" t="s">
        <v>23</v>
      </c>
      <c r="J1025" s="15">
        <v>55872</v>
      </c>
      <c r="K1025" s="15">
        <v>291</v>
      </c>
      <c r="L1025" s="15">
        <v>49167</v>
      </c>
      <c r="M1025" s="16">
        <f t="shared" si="75"/>
        <v>168.95876288659792</v>
      </c>
      <c r="N1025" s="15">
        <v>0</v>
      </c>
      <c r="O1025" s="16">
        <f t="shared" si="76"/>
        <v>55872</v>
      </c>
      <c r="P1025" s="15" t="s">
        <v>18</v>
      </c>
      <c r="Q1025" s="15">
        <v>0.06</v>
      </c>
      <c r="R1025" s="16">
        <f t="shared" si="77"/>
        <v>3352.3199999999997</v>
      </c>
      <c r="S1025" s="15">
        <v>0</v>
      </c>
      <c r="T1025" s="15">
        <v>0</v>
      </c>
      <c r="U1025" s="17">
        <f t="shared" si="78"/>
        <v>3352.3199999999997</v>
      </c>
      <c r="V1025" s="12" t="s">
        <v>58</v>
      </c>
      <c r="W1025" s="12">
        <v>121</v>
      </c>
    </row>
    <row r="1026" spans="4:23" s="12" customFormat="1" ht="30.75" customHeight="1" thickTop="1" thickBot="1" x14ac:dyDescent="0.35">
      <c r="D1026" s="10"/>
      <c r="G1026" s="13">
        <f t="shared" si="79"/>
        <v>1025</v>
      </c>
      <c r="H1026" s="18">
        <v>45951</v>
      </c>
      <c r="I1026" s="15" t="s">
        <v>24</v>
      </c>
      <c r="J1026" s="15">
        <v>13001.6</v>
      </c>
      <c r="K1026" s="15">
        <v>40</v>
      </c>
      <c r="L1026" s="15">
        <v>12221.5</v>
      </c>
      <c r="M1026" s="16">
        <f t="shared" ref="M1026:M1089" si="80">IFERROR(L1026/K1026,"")</f>
        <v>305.53750000000002</v>
      </c>
      <c r="N1026" s="15">
        <v>0</v>
      </c>
      <c r="O1026" s="16">
        <f t="shared" ref="O1026:O1089" si="81">J1026-N1026</f>
        <v>13001.6</v>
      </c>
      <c r="P1026" s="15" t="s">
        <v>18</v>
      </c>
      <c r="Q1026" s="15">
        <v>0.06</v>
      </c>
      <c r="R1026" s="16">
        <f t="shared" ref="R1026:R1089" si="82">J1026*Q1026</f>
        <v>780.096</v>
      </c>
      <c r="S1026" s="15">
        <v>-4078</v>
      </c>
      <c r="T1026" s="15">
        <v>0</v>
      </c>
      <c r="U1026" s="17">
        <f t="shared" ref="U1026:U1089" si="83">T1026+S1026+R1026</f>
        <v>-3297.904</v>
      </c>
      <c r="V1026" s="12" t="s">
        <v>58</v>
      </c>
      <c r="W1026" s="12">
        <v>121</v>
      </c>
    </row>
    <row r="1027" spans="4:23" s="12" customFormat="1" ht="30.75" customHeight="1" thickTop="1" thickBot="1" x14ac:dyDescent="0.35">
      <c r="D1027" s="10"/>
      <c r="G1027" s="13">
        <f t="shared" si="79"/>
        <v>1026</v>
      </c>
      <c r="H1027" s="18">
        <v>45951</v>
      </c>
      <c r="I1027" s="15" t="s">
        <v>31</v>
      </c>
      <c r="J1027" s="15">
        <v>9600</v>
      </c>
      <c r="K1027" s="15">
        <v>50</v>
      </c>
      <c r="L1027" s="15">
        <v>9024</v>
      </c>
      <c r="M1027" s="16">
        <f t="shared" si="80"/>
        <v>180.48</v>
      </c>
      <c r="N1027" s="15">
        <v>0</v>
      </c>
      <c r="O1027" s="16">
        <f t="shared" si="81"/>
        <v>9600</v>
      </c>
      <c r="P1027" s="15" t="s">
        <v>18</v>
      </c>
      <c r="Q1027" s="15">
        <v>0.06</v>
      </c>
      <c r="R1027" s="16">
        <f t="shared" si="82"/>
        <v>576</v>
      </c>
      <c r="S1027" s="15">
        <v>17700</v>
      </c>
      <c r="T1027" s="15">
        <v>0</v>
      </c>
      <c r="U1027" s="17">
        <f t="shared" si="83"/>
        <v>18276</v>
      </c>
      <c r="V1027" s="12" t="s">
        <v>58</v>
      </c>
      <c r="W1027" s="12">
        <v>121</v>
      </c>
    </row>
    <row r="1028" spans="4:23" s="12" customFormat="1" ht="30.75" customHeight="1" thickTop="1" thickBot="1" x14ac:dyDescent="0.35">
      <c r="D1028" s="10"/>
      <c r="G1028" s="13">
        <f t="shared" ref="G1028:G1091" si="84">G1027+1</f>
        <v>1027</v>
      </c>
      <c r="H1028" s="18">
        <v>45951</v>
      </c>
      <c r="I1028" s="15" t="s">
        <v>36</v>
      </c>
      <c r="J1028" s="15">
        <v>975.12</v>
      </c>
      <c r="K1028" s="15">
        <v>3</v>
      </c>
      <c r="L1028" s="15">
        <v>916.61</v>
      </c>
      <c r="M1028" s="16">
        <f t="shared" si="80"/>
        <v>305.53666666666669</v>
      </c>
      <c r="N1028" s="15">
        <v>0</v>
      </c>
      <c r="O1028" s="16">
        <f t="shared" si="81"/>
        <v>975.12</v>
      </c>
      <c r="P1028" s="15" t="s">
        <v>18</v>
      </c>
      <c r="Q1028" s="15">
        <v>0.06</v>
      </c>
      <c r="R1028" s="16">
        <f t="shared" si="82"/>
        <v>58.507199999999997</v>
      </c>
      <c r="S1028" s="15">
        <v>0</v>
      </c>
      <c r="T1028" s="15">
        <v>0</v>
      </c>
      <c r="U1028" s="17">
        <f t="shared" si="83"/>
        <v>58.507199999999997</v>
      </c>
      <c r="V1028" s="12" t="s">
        <v>58</v>
      </c>
      <c r="W1028" s="12">
        <v>121</v>
      </c>
    </row>
    <row r="1029" spans="4:23" s="10" customFormat="1" ht="30.75" customHeight="1" thickTop="1" thickBot="1" x14ac:dyDescent="0.35">
      <c r="G1029" s="25">
        <f t="shared" si="84"/>
        <v>1028</v>
      </c>
      <c r="H1029" s="26">
        <v>45951</v>
      </c>
      <c r="I1029" s="16" t="s">
        <v>37</v>
      </c>
      <c r="J1029" s="16">
        <v>69569.5</v>
      </c>
      <c r="K1029" s="16">
        <v>130</v>
      </c>
      <c r="L1029" s="16">
        <v>67482.42</v>
      </c>
      <c r="M1029" s="16">
        <f t="shared" si="80"/>
        <v>519.09553846153847</v>
      </c>
      <c r="N1029" s="15">
        <v>0</v>
      </c>
      <c r="O1029" s="16">
        <f t="shared" si="81"/>
        <v>69569.5</v>
      </c>
      <c r="P1029" s="15" t="s">
        <v>29</v>
      </c>
      <c r="Q1029" s="15">
        <v>0.02</v>
      </c>
      <c r="R1029" s="16">
        <f t="shared" si="82"/>
        <v>1391.39</v>
      </c>
      <c r="S1029" s="15">
        <v>0</v>
      </c>
      <c r="T1029" s="15">
        <v>0</v>
      </c>
      <c r="U1029" s="17">
        <f t="shared" si="83"/>
        <v>1391.39</v>
      </c>
      <c r="V1029" s="12" t="s">
        <v>58</v>
      </c>
      <c r="W1029" s="12">
        <v>121</v>
      </c>
    </row>
    <row r="1030" spans="4:23" s="12" customFormat="1" ht="30.75" customHeight="1" thickTop="1" thickBot="1" x14ac:dyDescent="0.35">
      <c r="D1030" s="10"/>
      <c r="G1030" s="13">
        <f t="shared" si="84"/>
        <v>1029</v>
      </c>
      <c r="H1030" s="18">
        <v>45955</v>
      </c>
      <c r="I1030" s="15" t="s">
        <v>45</v>
      </c>
      <c r="J1030" s="15">
        <v>2970</v>
      </c>
      <c r="K1030" s="15">
        <v>5</v>
      </c>
      <c r="L1030" s="15">
        <v>2738.34</v>
      </c>
      <c r="M1030" s="16">
        <f t="shared" si="80"/>
        <v>547.66800000000001</v>
      </c>
      <c r="N1030" s="15">
        <v>0</v>
      </c>
      <c r="O1030" s="16">
        <f t="shared" si="81"/>
        <v>2970</v>
      </c>
      <c r="P1030" s="15" t="s">
        <v>33</v>
      </c>
      <c r="Q1030" s="15">
        <v>0.01</v>
      </c>
      <c r="R1030" s="16">
        <f t="shared" si="82"/>
        <v>29.7</v>
      </c>
      <c r="S1030" s="15">
        <v>0</v>
      </c>
      <c r="T1030" s="15">
        <v>0</v>
      </c>
      <c r="U1030" s="17">
        <f t="shared" si="83"/>
        <v>29.7</v>
      </c>
      <c r="V1030" s="12" t="s">
        <v>59</v>
      </c>
      <c r="W1030" s="12">
        <v>132</v>
      </c>
    </row>
    <row r="1031" spans="4:23" s="12" customFormat="1" ht="30.75" customHeight="1" thickTop="1" thickBot="1" x14ac:dyDescent="0.35">
      <c r="D1031" s="10"/>
      <c r="G1031" s="13">
        <f t="shared" si="84"/>
        <v>1030</v>
      </c>
      <c r="H1031" s="18">
        <v>45955</v>
      </c>
      <c r="I1031" s="15" t="s">
        <v>32</v>
      </c>
      <c r="J1031" s="15">
        <v>29700</v>
      </c>
      <c r="K1031" s="15">
        <v>50</v>
      </c>
      <c r="L1031" s="15">
        <v>27383.4</v>
      </c>
      <c r="M1031" s="16">
        <f t="shared" si="80"/>
        <v>547.66800000000001</v>
      </c>
      <c r="N1031" s="15">
        <v>0</v>
      </c>
      <c r="O1031" s="16">
        <f t="shared" si="81"/>
        <v>29700</v>
      </c>
      <c r="P1031" s="15" t="s">
        <v>33</v>
      </c>
      <c r="Q1031" s="15">
        <v>0.01</v>
      </c>
      <c r="R1031" s="16">
        <f t="shared" si="82"/>
        <v>297</v>
      </c>
      <c r="S1031" s="15">
        <v>0</v>
      </c>
      <c r="T1031" s="15">
        <v>0</v>
      </c>
      <c r="U1031" s="17">
        <f t="shared" si="83"/>
        <v>297</v>
      </c>
      <c r="V1031" s="12" t="s">
        <v>59</v>
      </c>
      <c r="W1031" s="12">
        <v>132</v>
      </c>
    </row>
    <row r="1032" spans="4:23" s="12" customFormat="1" ht="30.75" customHeight="1" thickTop="1" thickBot="1" x14ac:dyDescent="0.35">
      <c r="D1032" s="10"/>
      <c r="G1032" s="13">
        <f t="shared" si="84"/>
        <v>1031</v>
      </c>
      <c r="H1032" s="18">
        <v>45955</v>
      </c>
      <c r="I1032" s="15" t="s">
        <v>30</v>
      </c>
      <c r="J1032" s="15">
        <v>76812.5</v>
      </c>
      <c r="K1032" s="15">
        <v>250</v>
      </c>
      <c r="L1032" s="15">
        <v>52923.81</v>
      </c>
      <c r="M1032" s="16">
        <f t="shared" si="80"/>
        <v>211.69523999999998</v>
      </c>
      <c r="N1032" s="15">
        <v>0</v>
      </c>
      <c r="O1032" s="16">
        <f t="shared" si="81"/>
        <v>76812.5</v>
      </c>
      <c r="P1032" s="15" t="s">
        <v>18</v>
      </c>
      <c r="Q1032" s="15">
        <v>0.06</v>
      </c>
      <c r="R1032" s="16">
        <f t="shared" si="82"/>
        <v>4608.75</v>
      </c>
      <c r="S1032" s="15">
        <v>0</v>
      </c>
      <c r="T1032" s="15">
        <v>0</v>
      </c>
      <c r="U1032" s="17">
        <f t="shared" si="83"/>
        <v>4608.75</v>
      </c>
      <c r="V1032" s="12" t="s">
        <v>59</v>
      </c>
      <c r="W1032" s="12">
        <v>132</v>
      </c>
    </row>
    <row r="1033" spans="4:23" s="12" customFormat="1" ht="30.75" customHeight="1" thickTop="1" thickBot="1" x14ac:dyDescent="0.35">
      <c r="D1033" s="10"/>
      <c r="G1033" s="13">
        <f t="shared" si="84"/>
        <v>1032</v>
      </c>
      <c r="H1033" s="18">
        <v>45955</v>
      </c>
      <c r="I1033" s="15" t="s">
        <v>17</v>
      </c>
      <c r="J1033" s="15">
        <v>122900</v>
      </c>
      <c r="K1033" s="15">
        <v>400</v>
      </c>
      <c r="L1033" s="15">
        <v>84678.1</v>
      </c>
      <c r="M1033" s="16">
        <f t="shared" si="80"/>
        <v>211.69525000000002</v>
      </c>
      <c r="N1033" s="15">
        <v>0</v>
      </c>
      <c r="O1033" s="16">
        <f t="shared" si="81"/>
        <v>122900</v>
      </c>
      <c r="P1033" s="15" t="s">
        <v>18</v>
      </c>
      <c r="Q1033" s="15">
        <v>0.06</v>
      </c>
      <c r="R1033" s="16">
        <f t="shared" si="82"/>
        <v>7374</v>
      </c>
      <c r="S1033" s="15">
        <v>0</v>
      </c>
      <c r="T1033" s="15">
        <v>0</v>
      </c>
      <c r="U1033" s="17">
        <f t="shared" si="83"/>
        <v>7374</v>
      </c>
      <c r="V1033" s="12" t="s">
        <v>59</v>
      </c>
      <c r="W1033" s="12">
        <v>132</v>
      </c>
    </row>
    <row r="1034" spans="4:23" s="12" customFormat="1" ht="30.75" customHeight="1" thickTop="1" thickBot="1" x14ac:dyDescent="0.35">
      <c r="D1034" s="10"/>
      <c r="G1034" s="13">
        <f t="shared" si="84"/>
        <v>1033</v>
      </c>
      <c r="H1034" s="18">
        <v>45955</v>
      </c>
      <c r="I1034" s="36" t="s">
        <v>20</v>
      </c>
      <c r="J1034" s="15">
        <v>624</v>
      </c>
      <c r="K1034" s="15">
        <v>2</v>
      </c>
      <c r="L1034" s="15">
        <v>586.55999999999995</v>
      </c>
      <c r="M1034" s="16">
        <f t="shared" si="80"/>
        <v>293.27999999999997</v>
      </c>
      <c r="N1034" s="15">
        <v>0</v>
      </c>
      <c r="O1034" s="16">
        <f t="shared" si="81"/>
        <v>624</v>
      </c>
      <c r="P1034" s="15" t="s">
        <v>18</v>
      </c>
      <c r="Q1034" s="15">
        <v>0.06</v>
      </c>
      <c r="R1034" s="16">
        <f t="shared" si="82"/>
        <v>37.44</v>
      </c>
      <c r="S1034" s="15">
        <v>0</v>
      </c>
      <c r="T1034" s="15">
        <v>0</v>
      </c>
      <c r="U1034" s="17">
        <f t="shared" si="83"/>
        <v>37.44</v>
      </c>
      <c r="V1034" s="12" t="s">
        <v>59</v>
      </c>
      <c r="W1034" s="12">
        <v>132</v>
      </c>
    </row>
    <row r="1035" spans="4:23" s="12" customFormat="1" ht="30.75" customHeight="1" thickTop="1" thickBot="1" x14ac:dyDescent="0.35">
      <c r="D1035" s="10"/>
      <c r="G1035" s="13">
        <f t="shared" si="84"/>
        <v>1034</v>
      </c>
      <c r="H1035" s="18">
        <v>45955</v>
      </c>
      <c r="I1035" s="15" t="s">
        <v>21</v>
      </c>
      <c r="J1035" s="15">
        <v>1236</v>
      </c>
      <c r="K1035" s="15">
        <v>5</v>
      </c>
      <c r="L1035" s="15">
        <v>1161.8399999999999</v>
      </c>
      <c r="M1035" s="16">
        <f t="shared" si="80"/>
        <v>232.36799999999999</v>
      </c>
      <c r="N1035" s="15">
        <v>0</v>
      </c>
      <c r="O1035" s="16">
        <f t="shared" si="81"/>
        <v>1236</v>
      </c>
      <c r="P1035" s="15" t="s">
        <v>18</v>
      </c>
      <c r="Q1035" s="15">
        <v>0.06</v>
      </c>
      <c r="R1035" s="16">
        <f t="shared" si="82"/>
        <v>74.16</v>
      </c>
      <c r="S1035" s="15">
        <v>0</v>
      </c>
      <c r="T1035" s="15">
        <v>0</v>
      </c>
      <c r="U1035" s="17">
        <f t="shared" si="83"/>
        <v>74.16</v>
      </c>
      <c r="V1035" s="12" t="s">
        <v>59</v>
      </c>
      <c r="W1035" s="12">
        <v>132</v>
      </c>
    </row>
    <row r="1036" spans="4:23" s="12" customFormat="1" ht="30.75" customHeight="1" thickTop="1" thickBot="1" x14ac:dyDescent="0.35">
      <c r="D1036" s="10"/>
      <c r="G1036" s="13">
        <f t="shared" si="84"/>
        <v>1035</v>
      </c>
      <c r="H1036" s="18">
        <v>45955</v>
      </c>
      <c r="I1036" s="15" t="s">
        <v>31</v>
      </c>
      <c r="J1036" s="15">
        <v>9600</v>
      </c>
      <c r="K1036" s="15">
        <v>50</v>
      </c>
      <c r="L1036" s="15">
        <v>9024</v>
      </c>
      <c r="M1036" s="16">
        <f t="shared" si="80"/>
        <v>180.48</v>
      </c>
      <c r="N1036" s="15">
        <v>0</v>
      </c>
      <c r="O1036" s="16">
        <f t="shared" si="81"/>
        <v>9600</v>
      </c>
      <c r="P1036" s="15" t="s">
        <v>18</v>
      </c>
      <c r="Q1036" s="15">
        <v>0.06</v>
      </c>
      <c r="R1036" s="16">
        <f t="shared" si="82"/>
        <v>576</v>
      </c>
      <c r="S1036" s="15">
        <v>0</v>
      </c>
      <c r="T1036" s="15">
        <v>0</v>
      </c>
      <c r="U1036" s="17">
        <f t="shared" si="83"/>
        <v>576</v>
      </c>
      <c r="V1036" s="12" t="s">
        <v>59</v>
      </c>
      <c r="W1036" s="12">
        <v>132</v>
      </c>
    </row>
    <row r="1037" spans="4:23" s="12" customFormat="1" ht="30.75" customHeight="1" thickTop="1" thickBot="1" x14ac:dyDescent="0.35">
      <c r="D1037" s="10"/>
      <c r="G1037" s="13">
        <f t="shared" si="84"/>
        <v>1036</v>
      </c>
      <c r="H1037" s="18">
        <v>45957</v>
      </c>
      <c r="I1037" s="15" t="s">
        <v>30</v>
      </c>
      <c r="J1037" s="15">
        <v>92175</v>
      </c>
      <c r="K1037" s="15">
        <v>300</v>
      </c>
      <c r="L1037" s="15">
        <v>63508.58</v>
      </c>
      <c r="M1037" s="16">
        <f t="shared" si="80"/>
        <v>211.69526666666667</v>
      </c>
      <c r="N1037" s="15">
        <v>0</v>
      </c>
      <c r="O1037" s="16">
        <f t="shared" si="81"/>
        <v>92175</v>
      </c>
      <c r="P1037" s="15" t="s">
        <v>18</v>
      </c>
      <c r="Q1037" s="15">
        <v>0.06</v>
      </c>
      <c r="R1037" s="16">
        <f t="shared" si="82"/>
        <v>5530.5</v>
      </c>
      <c r="S1037" s="15">
        <v>0</v>
      </c>
      <c r="T1037" s="15">
        <v>0</v>
      </c>
      <c r="U1037" s="17">
        <f t="shared" si="83"/>
        <v>5530.5</v>
      </c>
      <c r="V1037" s="12" t="s">
        <v>59</v>
      </c>
      <c r="W1037" s="12">
        <v>133</v>
      </c>
    </row>
    <row r="1038" spans="4:23" s="12" customFormat="1" ht="30.75" customHeight="1" thickTop="1" thickBot="1" x14ac:dyDescent="0.35">
      <c r="D1038" s="10"/>
      <c r="G1038" s="13">
        <f t="shared" si="84"/>
        <v>1037</v>
      </c>
      <c r="H1038" s="18">
        <v>45957</v>
      </c>
      <c r="I1038" s="15" t="s">
        <v>17</v>
      </c>
      <c r="J1038" s="15">
        <v>153625</v>
      </c>
      <c r="K1038" s="15">
        <v>500</v>
      </c>
      <c r="L1038" s="15">
        <v>105847.63</v>
      </c>
      <c r="M1038" s="16">
        <f t="shared" si="80"/>
        <v>211.69526000000002</v>
      </c>
      <c r="N1038" s="15">
        <v>0</v>
      </c>
      <c r="O1038" s="16">
        <f t="shared" si="81"/>
        <v>153625</v>
      </c>
      <c r="P1038" s="15" t="s">
        <v>18</v>
      </c>
      <c r="Q1038" s="15">
        <v>0.06</v>
      </c>
      <c r="R1038" s="16">
        <f t="shared" si="82"/>
        <v>9217.5</v>
      </c>
      <c r="S1038" s="15">
        <v>0</v>
      </c>
      <c r="T1038" s="15">
        <v>0</v>
      </c>
      <c r="U1038" s="17">
        <f t="shared" si="83"/>
        <v>9217.5</v>
      </c>
      <c r="V1038" s="12" t="s">
        <v>59</v>
      </c>
      <c r="W1038" s="12">
        <v>134</v>
      </c>
    </row>
    <row r="1039" spans="4:23" s="12" customFormat="1" ht="30.75" customHeight="1" thickTop="1" thickBot="1" x14ac:dyDescent="0.35">
      <c r="D1039" s="10"/>
      <c r="G1039" s="13">
        <f t="shared" si="84"/>
        <v>1038</v>
      </c>
      <c r="H1039" s="18">
        <v>45957</v>
      </c>
      <c r="I1039" s="36" t="s">
        <v>20</v>
      </c>
      <c r="J1039" s="15">
        <v>936</v>
      </c>
      <c r="K1039" s="15">
        <v>3</v>
      </c>
      <c r="L1039" s="15">
        <v>879.84</v>
      </c>
      <c r="M1039" s="16">
        <f t="shared" si="80"/>
        <v>293.28000000000003</v>
      </c>
      <c r="N1039" s="15">
        <v>0</v>
      </c>
      <c r="O1039" s="16">
        <f t="shared" si="81"/>
        <v>936</v>
      </c>
      <c r="P1039" s="15" t="s">
        <v>18</v>
      </c>
      <c r="Q1039" s="15">
        <v>0.06</v>
      </c>
      <c r="R1039" s="16">
        <f t="shared" si="82"/>
        <v>56.16</v>
      </c>
      <c r="S1039" s="15">
        <v>0</v>
      </c>
      <c r="T1039" s="15">
        <v>0</v>
      </c>
      <c r="U1039" s="17">
        <f t="shared" si="83"/>
        <v>56.16</v>
      </c>
      <c r="V1039" s="12" t="s">
        <v>59</v>
      </c>
      <c r="W1039" s="12">
        <v>134</v>
      </c>
    </row>
    <row r="1040" spans="4:23" s="12" customFormat="1" ht="30.75" customHeight="1" thickTop="1" thickBot="1" x14ac:dyDescent="0.35">
      <c r="D1040" s="10"/>
      <c r="G1040" s="13">
        <f t="shared" si="84"/>
        <v>1039</v>
      </c>
      <c r="H1040" s="18">
        <v>45957</v>
      </c>
      <c r="I1040" s="15" t="s">
        <v>21</v>
      </c>
      <c r="J1040" s="15">
        <v>741.6</v>
      </c>
      <c r="K1040" s="15">
        <v>3</v>
      </c>
      <c r="L1040" s="15">
        <v>697.1</v>
      </c>
      <c r="M1040" s="16">
        <f t="shared" si="80"/>
        <v>232.36666666666667</v>
      </c>
      <c r="N1040" s="15">
        <v>0</v>
      </c>
      <c r="O1040" s="16">
        <f t="shared" si="81"/>
        <v>741.6</v>
      </c>
      <c r="P1040" s="15" t="s">
        <v>18</v>
      </c>
      <c r="Q1040" s="15">
        <v>0.06</v>
      </c>
      <c r="R1040" s="16">
        <f t="shared" si="82"/>
        <v>44.496000000000002</v>
      </c>
      <c r="S1040" s="15">
        <v>0</v>
      </c>
      <c r="T1040" s="15">
        <v>0</v>
      </c>
      <c r="U1040" s="17">
        <f t="shared" si="83"/>
        <v>44.496000000000002</v>
      </c>
      <c r="V1040" s="12" t="s">
        <v>59</v>
      </c>
      <c r="W1040" s="12">
        <v>134</v>
      </c>
    </row>
    <row r="1041" spans="4:23" s="12" customFormat="1" ht="30.75" customHeight="1" thickTop="1" thickBot="1" x14ac:dyDescent="0.35">
      <c r="D1041" s="10"/>
      <c r="G1041" s="13">
        <f t="shared" si="84"/>
        <v>1040</v>
      </c>
      <c r="H1041" s="18">
        <v>45957</v>
      </c>
      <c r="I1041" s="15" t="s">
        <v>22</v>
      </c>
      <c r="J1041" s="15">
        <v>807.75</v>
      </c>
      <c r="K1041" s="15">
        <v>3</v>
      </c>
      <c r="L1041" s="15">
        <v>759.29</v>
      </c>
      <c r="M1041" s="16">
        <f t="shared" si="80"/>
        <v>253.09666666666666</v>
      </c>
      <c r="N1041" s="15">
        <v>0</v>
      </c>
      <c r="O1041" s="16">
        <f t="shared" si="81"/>
        <v>807.75</v>
      </c>
      <c r="P1041" s="15" t="s">
        <v>18</v>
      </c>
      <c r="Q1041" s="15">
        <v>0.06</v>
      </c>
      <c r="R1041" s="16">
        <f t="shared" si="82"/>
        <v>48.464999999999996</v>
      </c>
      <c r="S1041" s="15">
        <v>0</v>
      </c>
      <c r="T1041" s="15">
        <v>0</v>
      </c>
      <c r="U1041" s="17">
        <f t="shared" si="83"/>
        <v>48.464999999999996</v>
      </c>
      <c r="V1041" s="12" t="s">
        <v>59</v>
      </c>
      <c r="W1041" s="12">
        <v>134</v>
      </c>
    </row>
    <row r="1042" spans="4:23" s="12" customFormat="1" ht="30.75" customHeight="1" thickTop="1" thickBot="1" x14ac:dyDescent="0.35">
      <c r="D1042" s="10"/>
      <c r="G1042" s="13">
        <f t="shared" si="84"/>
        <v>1041</v>
      </c>
      <c r="H1042" s="18">
        <v>45957</v>
      </c>
      <c r="I1042" s="15" t="s">
        <v>23</v>
      </c>
      <c r="J1042" s="15">
        <v>28800</v>
      </c>
      <c r="K1042" s="15">
        <v>150</v>
      </c>
      <c r="L1042" s="15">
        <v>27072</v>
      </c>
      <c r="M1042" s="16">
        <f t="shared" si="80"/>
        <v>180.48</v>
      </c>
      <c r="N1042" s="15">
        <v>0</v>
      </c>
      <c r="O1042" s="16">
        <f t="shared" si="81"/>
        <v>28800</v>
      </c>
      <c r="P1042" s="15" t="s">
        <v>18</v>
      </c>
      <c r="Q1042" s="15">
        <v>0.06</v>
      </c>
      <c r="R1042" s="16">
        <f t="shared" si="82"/>
        <v>1728</v>
      </c>
      <c r="S1042" s="15">
        <v>0</v>
      </c>
      <c r="T1042" s="15">
        <v>0</v>
      </c>
      <c r="U1042" s="17">
        <f t="shared" si="83"/>
        <v>1728</v>
      </c>
      <c r="V1042" s="12" t="s">
        <v>59</v>
      </c>
      <c r="W1042" s="12">
        <v>134</v>
      </c>
    </row>
    <row r="1043" spans="4:23" s="12" customFormat="1" ht="30.75" customHeight="1" thickTop="1" thickBot="1" x14ac:dyDescent="0.35">
      <c r="D1043" s="10"/>
      <c r="G1043" s="13">
        <f t="shared" si="84"/>
        <v>1042</v>
      </c>
      <c r="H1043" s="18">
        <v>45957</v>
      </c>
      <c r="I1043" s="15" t="s">
        <v>24</v>
      </c>
      <c r="J1043" s="15">
        <v>6500.8</v>
      </c>
      <c r="K1043" s="15">
        <v>20</v>
      </c>
      <c r="L1043" s="15">
        <v>6110.75</v>
      </c>
      <c r="M1043" s="16">
        <f t="shared" si="80"/>
        <v>305.53750000000002</v>
      </c>
      <c r="N1043" s="15">
        <v>0</v>
      </c>
      <c r="O1043" s="16">
        <f t="shared" si="81"/>
        <v>6500.8</v>
      </c>
      <c r="P1043" s="15" t="s">
        <v>18</v>
      </c>
      <c r="Q1043" s="15">
        <v>0.06</v>
      </c>
      <c r="R1043" s="16">
        <f t="shared" si="82"/>
        <v>390.048</v>
      </c>
      <c r="S1043" s="15">
        <v>0</v>
      </c>
      <c r="T1043" s="15">
        <v>0</v>
      </c>
      <c r="U1043" s="17">
        <f t="shared" si="83"/>
        <v>390.048</v>
      </c>
      <c r="V1043" s="12" t="s">
        <v>59</v>
      </c>
      <c r="W1043" s="12">
        <v>134</v>
      </c>
    </row>
    <row r="1044" spans="4:23" s="12" customFormat="1" ht="30.75" customHeight="1" thickTop="1" thickBot="1" x14ac:dyDescent="0.35">
      <c r="D1044" s="10"/>
      <c r="G1044" s="13">
        <f t="shared" si="84"/>
        <v>1043</v>
      </c>
      <c r="H1044" s="18">
        <v>45957</v>
      </c>
      <c r="I1044" s="15" t="s">
        <v>31</v>
      </c>
      <c r="J1044" s="15">
        <v>5760</v>
      </c>
      <c r="K1044" s="15">
        <v>30</v>
      </c>
      <c r="L1044" s="15">
        <v>5414.4</v>
      </c>
      <c r="M1044" s="16">
        <f t="shared" si="80"/>
        <v>180.48</v>
      </c>
      <c r="N1044" s="15">
        <v>0</v>
      </c>
      <c r="O1044" s="16">
        <f t="shared" si="81"/>
        <v>5760</v>
      </c>
      <c r="P1044" s="15" t="s">
        <v>18</v>
      </c>
      <c r="Q1044" s="15">
        <v>0.06</v>
      </c>
      <c r="R1044" s="16">
        <f t="shared" si="82"/>
        <v>345.59999999999997</v>
      </c>
      <c r="S1044" s="15">
        <v>0</v>
      </c>
      <c r="T1044" s="15">
        <v>0</v>
      </c>
      <c r="U1044" s="17">
        <f t="shared" si="83"/>
        <v>345.59999999999997</v>
      </c>
      <c r="V1044" s="12" t="s">
        <v>59</v>
      </c>
      <c r="W1044" s="12">
        <v>134</v>
      </c>
    </row>
    <row r="1045" spans="4:23" s="12" customFormat="1" ht="30.75" customHeight="1" thickTop="1" thickBot="1" x14ac:dyDescent="0.35">
      <c r="D1045" s="10"/>
      <c r="G1045" s="13">
        <f t="shared" si="84"/>
        <v>1044</v>
      </c>
      <c r="H1045" s="18">
        <v>45958</v>
      </c>
      <c r="I1045" s="15" t="s">
        <v>30</v>
      </c>
      <c r="J1045" s="15">
        <v>92175</v>
      </c>
      <c r="K1045" s="15">
        <v>300</v>
      </c>
      <c r="L1045" s="15">
        <v>63508.58</v>
      </c>
      <c r="M1045" s="16">
        <f t="shared" si="80"/>
        <v>211.69526666666667</v>
      </c>
      <c r="N1045" s="15">
        <v>0</v>
      </c>
      <c r="O1045" s="16">
        <f t="shared" si="81"/>
        <v>92175</v>
      </c>
      <c r="P1045" s="15" t="s">
        <v>18</v>
      </c>
      <c r="Q1045" s="15">
        <v>0.06</v>
      </c>
      <c r="R1045" s="16">
        <f t="shared" si="82"/>
        <v>5530.5</v>
      </c>
      <c r="S1045" s="15">
        <v>0</v>
      </c>
      <c r="T1045" s="15">
        <v>0</v>
      </c>
      <c r="U1045" s="17">
        <f t="shared" si="83"/>
        <v>5530.5</v>
      </c>
      <c r="V1045" s="12" t="s">
        <v>59</v>
      </c>
      <c r="W1045" s="12">
        <v>135</v>
      </c>
    </row>
    <row r="1046" spans="4:23" s="12" customFormat="1" ht="30.75" customHeight="1" thickTop="1" thickBot="1" x14ac:dyDescent="0.35">
      <c r="D1046" s="10"/>
      <c r="G1046" s="13">
        <f t="shared" si="84"/>
        <v>1045</v>
      </c>
      <c r="H1046" s="18">
        <v>45958</v>
      </c>
      <c r="I1046" s="15" t="s">
        <v>17</v>
      </c>
      <c r="J1046" s="15">
        <v>153625</v>
      </c>
      <c r="K1046" s="15">
        <v>500</v>
      </c>
      <c r="L1046" s="15">
        <v>105847.63</v>
      </c>
      <c r="M1046" s="16">
        <f t="shared" si="80"/>
        <v>211.69526000000002</v>
      </c>
      <c r="N1046" s="15">
        <v>0</v>
      </c>
      <c r="O1046" s="16">
        <f t="shared" si="81"/>
        <v>153625</v>
      </c>
      <c r="P1046" s="15" t="s">
        <v>18</v>
      </c>
      <c r="Q1046" s="15">
        <v>0.06</v>
      </c>
      <c r="R1046" s="16">
        <f t="shared" si="82"/>
        <v>9217.5</v>
      </c>
      <c r="S1046" s="15">
        <v>0</v>
      </c>
      <c r="T1046" s="15">
        <v>0</v>
      </c>
      <c r="U1046" s="17">
        <f t="shared" si="83"/>
        <v>9217.5</v>
      </c>
      <c r="V1046" s="12" t="s">
        <v>59</v>
      </c>
      <c r="W1046" s="12">
        <v>135</v>
      </c>
    </row>
    <row r="1047" spans="4:23" s="12" customFormat="1" ht="30.75" customHeight="1" thickTop="1" thickBot="1" x14ac:dyDescent="0.35">
      <c r="D1047" s="10"/>
      <c r="G1047" s="13">
        <f t="shared" si="84"/>
        <v>1046</v>
      </c>
      <c r="H1047" s="18">
        <v>45958</v>
      </c>
      <c r="I1047" s="36" t="s">
        <v>20</v>
      </c>
      <c r="J1047" s="15">
        <v>624</v>
      </c>
      <c r="K1047" s="15">
        <v>2</v>
      </c>
      <c r="L1047" s="15">
        <v>586.55999999999995</v>
      </c>
      <c r="M1047" s="16">
        <f t="shared" si="80"/>
        <v>293.27999999999997</v>
      </c>
      <c r="N1047" s="15">
        <v>0</v>
      </c>
      <c r="O1047" s="16">
        <f t="shared" si="81"/>
        <v>624</v>
      </c>
      <c r="P1047" s="15" t="s">
        <v>18</v>
      </c>
      <c r="Q1047" s="15">
        <v>0.06</v>
      </c>
      <c r="R1047" s="16">
        <f t="shared" si="82"/>
        <v>37.44</v>
      </c>
      <c r="S1047" s="15">
        <v>0</v>
      </c>
      <c r="T1047" s="15">
        <v>0</v>
      </c>
      <c r="U1047" s="17">
        <f t="shared" si="83"/>
        <v>37.44</v>
      </c>
      <c r="V1047" s="12" t="s">
        <v>59</v>
      </c>
      <c r="W1047" s="12">
        <v>135</v>
      </c>
    </row>
    <row r="1048" spans="4:23" s="12" customFormat="1" ht="30.75" customHeight="1" thickTop="1" thickBot="1" x14ac:dyDescent="0.35">
      <c r="D1048" s="10"/>
      <c r="G1048" s="13">
        <f t="shared" si="84"/>
        <v>1047</v>
      </c>
      <c r="H1048" s="18">
        <v>45958</v>
      </c>
      <c r="I1048" s="15" t="s">
        <v>21</v>
      </c>
      <c r="J1048" s="15">
        <v>1236</v>
      </c>
      <c r="K1048" s="15">
        <v>5</v>
      </c>
      <c r="L1048" s="15">
        <v>1161.8399999999999</v>
      </c>
      <c r="M1048" s="16">
        <f t="shared" si="80"/>
        <v>232.36799999999999</v>
      </c>
      <c r="N1048" s="15">
        <v>0</v>
      </c>
      <c r="O1048" s="16">
        <f t="shared" si="81"/>
        <v>1236</v>
      </c>
      <c r="P1048" s="15" t="s">
        <v>18</v>
      </c>
      <c r="Q1048" s="15">
        <v>0.06</v>
      </c>
      <c r="R1048" s="16">
        <f t="shared" si="82"/>
        <v>74.16</v>
      </c>
      <c r="S1048" s="15">
        <v>0</v>
      </c>
      <c r="T1048" s="15">
        <v>0</v>
      </c>
      <c r="U1048" s="17">
        <f t="shared" si="83"/>
        <v>74.16</v>
      </c>
      <c r="V1048" s="12" t="s">
        <v>59</v>
      </c>
      <c r="W1048" s="12">
        <v>135</v>
      </c>
    </row>
    <row r="1049" spans="4:23" s="12" customFormat="1" ht="30.75" customHeight="1" thickTop="1" thickBot="1" x14ac:dyDescent="0.35">
      <c r="D1049" s="10"/>
      <c r="G1049" s="13">
        <f t="shared" si="84"/>
        <v>1048</v>
      </c>
      <c r="H1049" s="18">
        <v>45958</v>
      </c>
      <c r="I1049" s="15" t="s">
        <v>22</v>
      </c>
      <c r="J1049" s="15">
        <v>538.5</v>
      </c>
      <c r="K1049" s="15">
        <v>2</v>
      </c>
      <c r="L1049" s="15">
        <v>506.19</v>
      </c>
      <c r="M1049" s="16">
        <f t="shared" si="80"/>
        <v>253.095</v>
      </c>
      <c r="N1049" s="15">
        <v>0</v>
      </c>
      <c r="O1049" s="16">
        <f t="shared" si="81"/>
        <v>538.5</v>
      </c>
      <c r="P1049" s="15" t="s">
        <v>18</v>
      </c>
      <c r="Q1049" s="15">
        <v>0.06</v>
      </c>
      <c r="R1049" s="16">
        <f t="shared" si="82"/>
        <v>32.31</v>
      </c>
      <c r="S1049" s="15">
        <v>0</v>
      </c>
      <c r="T1049" s="15">
        <v>0</v>
      </c>
      <c r="U1049" s="17">
        <f t="shared" si="83"/>
        <v>32.31</v>
      </c>
      <c r="V1049" s="12" t="s">
        <v>59</v>
      </c>
      <c r="W1049" s="12">
        <v>135</v>
      </c>
    </row>
    <row r="1050" spans="4:23" s="12" customFormat="1" ht="30.75" customHeight="1" thickTop="1" thickBot="1" x14ac:dyDescent="0.35">
      <c r="D1050" s="10"/>
      <c r="G1050" s="13">
        <f t="shared" si="84"/>
        <v>1049</v>
      </c>
      <c r="H1050" s="18">
        <v>45958</v>
      </c>
      <c r="I1050" s="15" t="s">
        <v>23</v>
      </c>
      <c r="J1050" s="15">
        <v>60480</v>
      </c>
      <c r="K1050" s="15">
        <v>315</v>
      </c>
      <c r="L1050" s="15">
        <v>56851.199999999997</v>
      </c>
      <c r="M1050" s="16">
        <f t="shared" si="80"/>
        <v>180.48</v>
      </c>
      <c r="N1050" s="15">
        <v>0</v>
      </c>
      <c r="O1050" s="16">
        <f t="shared" si="81"/>
        <v>60480</v>
      </c>
      <c r="P1050" s="15" t="s">
        <v>18</v>
      </c>
      <c r="Q1050" s="15">
        <v>0.06</v>
      </c>
      <c r="R1050" s="16">
        <f t="shared" si="82"/>
        <v>3628.7999999999997</v>
      </c>
      <c r="S1050" s="15">
        <v>0</v>
      </c>
      <c r="T1050" s="15">
        <v>0</v>
      </c>
      <c r="U1050" s="17">
        <f t="shared" si="83"/>
        <v>3628.7999999999997</v>
      </c>
      <c r="V1050" s="12" t="s">
        <v>59</v>
      </c>
      <c r="W1050" s="12">
        <v>135</v>
      </c>
    </row>
    <row r="1051" spans="4:23" s="12" customFormat="1" ht="30.75" customHeight="1" thickTop="1" thickBot="1" x14ac:dyDescent="0.35">
      <c r="D1051" s="10"/>
      <c r="G1051" s="13">
        <f t="shared" si="84"/>
        <v>1050</v>
      </c>
      <c r="H1051" s="18">
        <v>45958</v>
      </c>
      <c r="I1051" s="15" t="s">
        <v>24</v>
      </c>
      <c r="J1051" s="15">
        <v>16252</v>
      </c>
      <c r="K1051" s="15">
        <v>50</v>
      </c>
      <c r="L1051" s="15">
        <v>15276.88</v>
      </c>
      <c r="M1051" s="16">
        <f t="shared" si="80"/>
        <v>305.5376</v>
      </c>
      <c r="N1051" s="15">
        <v>0</v>
      </c>
      <c r="O1051" s="16">
        <f t="shared" si="81"/>
        <v>16252</v>
      </c>
      <c r="P1051" s="15" t="s">
        <v>18</v>
      </c>
      <c r="Q1051" s="15">
        <v>0.06</v>
      </c>
      <c r="R1051" s="16">
        <f t="shared" si="82"/>
        <v>975.12</v>
      </c>
      <c r="S1051" s="15">
        <v>0</v>
      </c>
      <c r="T1051" s="15">
        <v>0</v>
      </c>
      <c r="U1051" s="17">
        <f t="shared" si="83"/>
        <v>975.12</v>
      </c>
      <c r="V1051" s="12" t="s">
        <v>59</v>
      </c>
      <c r="W1051" s="12">
        <v>135</v>
      </c>
    </row>
    <row r="1052" spans="4:23" s="12" customFormat="1" ht="30.75" customHeight="1" thickTop="1" thickBot="1" x14ac:dyDescent="0.35">
      <c r="D1052" s="10"/>
      <c r="G1052" s="13">
        <f t="shared" si="84"/>
        <v>1051</v>
      </c>
      <c r="H1052" s="18">
        <v>45958</v>
      </c>
      <c r="I1052" s="15" t="s">
        <v>31</v>
      </c>
      <c r="J1052" s="15">
        <v>3840</v>
      </c>
      <c r="K1052" s="15">
        <v>20</v>
      </c>
      <c r="L1052" s="15">
        <v>3609.6</v>
      </c>
      <c r="M1052" s="16">
        <f t="shared" si="80"/>
        <v>180.48</v>
      </c>
      <c r="N1052" s="15">
        <v>0</v>
      </c>
      <c r="O1052" s="16">
        <f t="shared" si="81"/>
        <v>3840</v>
      </c>
      <c r="P1052" s="15" t="s">
        <v>18</v>
      </c>
      <c r="Q1052" s="15">
        <v>0.06</v>
      </c>
      <c r="R1052" s="16">
        <f t="shared" si="82"/>
        <v>230.39999999999998</v>
      </c>
      <c r="S1052" s="15">
        <v>0</v>
      </c>
      <c r="T1052" s="15">
        <v>0</v>
      </c>
      <c r="U1052" s="17">
        <f t="shared" si="83"/>
        <v>230.39999999999998</v>
      </c>
      <c r="V1052" s="12" t="s">
        <v>59</v>
      </c>
      <c r="W1052" s="12">
        <v>135</v>
      </c>
    </row>
    <row r="1053" spans="4:23" s="12" customFormat="1" ht="30.75" customHeight="1" thickTop="1" thickBot="1" x14ac:dyDescent="0.35">
      <c r="D1053" s="10"/>
      <c r="G1053" s="13">
        <f t="shared" si="84"/>
        <v>1052</v>
      </c>
      <c r="H1053" s="18">
        <v>45958</v>
      </c>
      <c r="I1053" s="15" t="s">
        <v>36</v>
      </c>
      <c r="J1053" s="15">
        <v>650.08000000000004</v>
      </c>
      <c r="K1053" s="15">
        <v>2</v>
      </c>
      <c r="L1053" s="15">
        <v>611.08000000000004</v>
      </c>
      <c r="M1053" s="16">
        <f t="shared" si="80"/>
        <v>305.54000000000002</v>
      </c>
      <c r="N1053" s="15">
        <v>0</v>
      </c>
      <c r="O1053" s="16">
        <f t="shared" si="81"/>
        <v>650.08000000000004</v>
      </c>
      <c r="P1053" s="15" t="s">
        <v>18</v>
      </c>
      <c r="Q1053" s="15">
        <v>0.06</v>
      </c>
      <c r="R1053" s="16">
        <f t="shared" si="82"/>
        <v>39.004800000000003</v>
      </c>
      <c r="S1053" s="15">
        <v>0</v>
      </c>
      <c r="T1053" s="15">
        <v>0</v>
      </c>
      <c r="U1053" s="17">
        <f t="shared" si="83"/>
        <v>39.004800000000003</v>
      </c>
      <c r="V1053" s="12" t="s">
        <v>59</v>
      </c>
      <c r="W1053" s="12">
        <v>135</v>
      </c>
    </row>
    <row r="1054" spans="4:23" s="12" customFormat="1" ht="30.75" customHeight="1" thickTop="1" thickBot="1" x14ac:dyDescent="0.35">
      <c r="D1054" s="10"/>
      <c r="G1054" s="13">
        <f t="shared" si="84"/>
        <v>1053</v>
      </c>
      <c r="H1054" s="18">
        <v>45958</v>
      </c>
      <c r="I1054" s="15" t="s">
        <v>37</v>
      </c>
      <c r="J1054" s="15">
        <v>187302.5</v>
      </c>
      <c r="K1054" s="15">
        <v>350</v>
      </c>
      <c r="L1054" s="15">
        <v>181683.43</v>
      </c>
      <c r="M1054" s="16">
        <f t="shared" si="80"/>
        <v>519.09551428571422</v>
      </c>
      <c r="N1054" s="15">
        <v>0</v>
      </c>
      <c r="O1054" s="16">
        <f t="shared" si="81"/>
        <v>187302.5</v>
      </c>
      <c r="P1054" s="15" t="s">
        <v>29</v>
      </c>
      <c r="Q1054" s="15">
        <v>0.02</v>
      </c>
      <c r="R1054" s="16">
        <f t="shared" si="82"/>
        <v>3746.05</v>
      </c>
      <c r="S1054" s="15">
        <v>0</v>
      </c>
      <c r="T1054" s="15">
        <v>0</v>
      </c>
      <c r="U1054" s="17">
        <f t="shared" si="83"/>
        <v>3746.05</v>
      </c>
      <c r="V1054" s="12" t="s">
        <v>59</v>
      </c>
      <c r="W1054" s="12">
        <v>135</v>
      </c>
    </row>
    <row r="1055" spans="4:23" s="12" customFormat="1" ht="30.75" customHeight="1" thickTop="1" thickBot="1" x14ac:dyDescent="0.35">
      <c r="D1055" s="10"/>
      <c r="G1055" s="13">
        <f t="shared" si="84"/>
        <v>1054</v>
      </c>
      <c r="H1055" s="18">
        <v>45962</v>
      </c>
      <c r="I1055" s="15" t="s">
        <v>32</v>
      </c>
      <c r="J1055" s="15">
        <v>2970</v>
      </c>
      <c r="K1055" s="15">
        <v>5</v>
      </c>
      <c r="L1055" s="15">
        <v>2738.34</v>
      </c>
      <c r="M1055" s="16">
        <f t="shared" si="80"/>
        <v>547.66800000000001</v>
      </c>
      <c r="N1055" s="15">
        <v>0</v>
      </c>
      <c r="O1055" s="16">
        <f t="shared" si="81"/>
        <v>2970</v>
      </c>
      <c r="P1055" s="15" t="s">
        <v>33</v>
      </c>
      <c r="Q1055" s="15">
        <v>0.01</v>
      </c>
      <c r="R1055" s="16">
        <f t="shared" si="82"/>
        <v>29.7</v>
      </c>
      <c r="S1055" s="15">
        <v>0</v>
      </c>
      <c r="T1055" s="15">
        <v>0</v>
      </c>
      <c r="U1055" s="17">
        <f t="shared" si="83"/>
        <v>29.7</v>
      </c>
      <c r="V1055" s="12" t="s">
        <v>59</v>
      </c>
      <c r="W1055" s="12">
        <v>136</v>
      </c>
    </row>
    <row r="1056" spans="4:23" s="12" customFormat="1" ht="30.75" customHeight="1" thickTop="1" thickBot="1" x14ac:dyDescent="0.35">
      <c r="D1056" s="10"/>
      <c r="G1056" s="13">
        <f t="shared" si="84"/>
        <v>1055</v>
      </c>
      <c r="H1056" s="18">
        <v>45962</v>
      </c>
      <c r="I1056" s="15" t="s">
        <v>30</v>
      </c>
      <c r="J1056" s="15">
        <v>61450</v>
      </c>
      <c r="K1056" s="15">
        <v>200</v>
      </c>
      <c r="L1056" s="15">
        <v>42339.05</v>
      </c>
      <c r="M1056" s="16">
        <f t="shared" si="80"/>
        <v>211.69525000000002</v>
      </c>
      <c r="N1056" s="15">
        <v>0</v>
      </c>
      <c r="O1056" s="16">
        <f t="shared" si="81"/>
        <v>61450</v>
      </c>
      <c r="P1056" s="15" t="s">
        <v>18</v>
      </c>
      <c r="Q1056" s="15">
        <v>0.06</v>
      </c>
      <c r="R1056" s="16">
        <f t="shared" si="82"/>
        <v>3687</v>
      </c>
      <c r="S1056" s="15">
        <v>0</v>
      </c>
      <c r="T1056" s="15">
        <v>0</v>
      </c>
      <c r="U1056" s="17">
        <f t="shared" si="83"/>
        <v>3687</v>
      </c>
      <c r="V1056" s="12" t="s">
        <v>59</v>
      </c>
      <c r="W1056" s="12">
        <v>136</v>
      </c>
    </row>
    <row r="1057" spans="4:23" s="12" customFormat="1" ht="30.75" customHeight="1" thickTop="1" thickBot="1" x14ac:dyDescent="0.35">
      <c r="D1057" s="10"/>
      <c r="G1057" s="13">
        <f t="shared" si="84"/>
        <v>1056</v>
      </c>
      <c r="H1057" s="18">
        <v>45962</v>
      </c>
      <c r="I1057" s="15" t="s">
        <v>17</v>
      </c>
      <c r="J1057" s="15">
        <v>122900</v>
      </c>
      <c r="K1057" s="15">
        <v>400</v>
      </c>
      <c r="L1057" s="15">
        <v>84678.1</v>
      </c>
      <c r="M1057" s="16">
        <f t="shared" si="80"/>
        <v>211.69525000000002</v>
      </c>
      <c r="N1057" s="15">
        <v>0</v>
      </c>
      <c r="O1057" s="16">
        <f t="shared" si="81"/>
        <v>122900</v>
      </c>
      <c r="P1057" s="15" t="s">
        <v>18</v>
      </c>
      <c r="Q1057" s="15">
        <v>0.06</v>
      </c>
      <c r="R1057" s="16">
        <f t="shared" si="82"/>
        <v>7374</v>
      </c>
      <c r="S1057" s="15">
        <v>0</v>
      </c>
      <c r="T1057" s="15">
        <v>0</v>
      </c>
      <c r="U1057" s="17">
        <f t="shared" si="83"/>
        <v>7374</v>
      </c>
      <c r="V1057" s="12" t="s">
        <v>59</v>
      </c>
      <c r="W1057" s="12">
        <v>136</v>
      </c>
    </row>
    <row r="1058" spans="4:23" s="12" customFormat="1" ht="30.75" customHeight="1" thickTop="1" thickBot="1" x14ac:dyDescent="0.35">
      <c r="D1058" s="10"/>
      <c r="G1058" s="13">
        <f t="shared" si="84"/>
        <v>1057</v>
      </c>
      <c r="H1058" s="18">
        <v>45962</v>
      </c>
      <c r="I1058" s="36" t="s">
        <v>20</v>
      </c>
      <c r="J1058" s="15">
        <v>624</v>
      </c>
      <c r="K1058" s="15">
        <v>2</v>
      </c>
      <c r="L1058" s="15">
        <v>586.55999999999995</v>
      </c>
      <c r="M1058" s="16">
        <f t="shared" si="80"/>
        <v>293.27999999999997</v>
      </c>
      <c r="N1058" s="15">
        <v>0</v>
      </c>
      <c r="O1058" s="16">
        <f t="shared" si="81"/>
        <v>624</v>
      </c>
      <c r="P1058" s="15" t="s">
        <v>18</v>
      </c>
      <c r="Q1058" s="15">
        <v>0.06</v>
      </c>
      <c r="R1058" s="16">
        <f t="shared" si="82"/>
        <v>37.44</v>
      </c>
      <c r="S1058" s="15">
        <v>0</v>
      </c>
      <c r="T1058" s="15">
        <v>0</v>
      </c>
      <c r="U1058" s="17">
        <f t="shared" si="83"/>
        <v>37.44</v>
      </c>
      <c r="V1058" s="12" t="s">
        <v>59</v>
      </c>
      <c r="W1058" s="12">
        <v>136</v>
      </c>
    </row>
    <row r="1059" spans="4:23" s="12" customFormat="1" ht="30.75" customHeight="1" thickTop="1" thickBot="1" x14ac:dyDescent="0.35">
      <c r="D1059" s="10"/>
      <c r="G1059" s="13">
        <f t="shared" si="84"/>
        <v>1058</v>
      </c>
      <c r="H1059" s="18">
        <v>45962</v>
      </c>
      <c r="I1059" s="15" t="s">
        <v>21</v>
      </c>
      <c r="J1059" s="15">
        <v>2472</v>
      </c>
      <c r="K1059" s="15">
        <v>10</v>
      </c>
      <c r="L1059" s="15">
        <v>2323.6799999999998</v>
      </c>
      <c r="M1059" s="16">
        <f t="shared" si="80"/>
        <v>232.36799999999999</v>
      </c>
      <c r="N1059" s="15">
        <v>0</v>
      </c>
      <c r="O1059" s="16">
        <f t="shared" si="81"/>
        <v>2472</v>
      </c>
      <c r="P1059" s="15" t="s">
        <v>18</v>
      </c>
      <c r="Q1059" s="15">
        <v>0.06</v>
      </c>
      <c r="R1059" s="16">
        <f t="shared" si="82"/>
        <v>148.32</v>
      </c>
      <c r="S1059" s="15">
        <v>0</v>
      </c>
      <c r="T1059" s="15">
        <v>0</v>
      </c>
      <c r="U1059" s="17">
        <f t="shared" si="83"/>
        <v>148.32</v>
      </c>
      <c r="V1059" s="12" t="s">
        <v>59</v>
      </c>
      <c r="W1059" s="12">
        <v>136</v>
      </c>
    </row>
    <row r="1060" spans="4:23" s="12" customFormat="1" ht="30.75" customHeight="1" thickTop="1" thickBot="1" x14ac:dyDescent="0.35">
      <c r="D1060" s="10"/>
      <c r="G1060" s="13">
        <f t="shared" si="84"/>
        <v>1059</v>
      </c>
      <c r="H1060" s="18">
        <v>45962</v>
      </c>
      <c r="I1060" s="15" t="s">
        <v>22</v>
      </c>
      <c r="J1060" s="15">
        <v>2692.5</v>
      </c>
      <c r="K1060" s="15">
        <v>10</v>
      </c>
      <c r="L1060" s="15">
        <v>2530.9499999999998</v>
      </c>
      <c r="M1060" s="16">
        <f t="shared" si="80"/>
        <v>253.09499999999997</v>
      </c>
      <c r="N1060" s="15">
        <v>0</v>
      </c>
      <c r="O1060" s="16">
        <f t="shared" si="81"/>
        <v>2692.5</v>
      </c>
      <c r="P1060" s="15" t="s">
        <v>18</v>
      </c>
      <c r="Q1060" s="15">
        <v>0.06</v>
      </c>
      <c r="R1060" s="16">
        <f t="shared" si="82"/>
        <v>161.54999999999998</v>
      </c>
      <c r="S1060" s="15">
        <v>0</v>
      </c>
      <c r="T1060" s="15">
        <v>0</v>
      </c>
      <c r="U1060" s="17">
        <f t="shared" si="83"/>
        <v>161.54999999999998</v>
      </c>
      <c r="V1060" s="12" t="s">
        <v>59</v>
      </c>
      <c r="W1060" s="12">
        <v>136</v>
      </c>
    </row>
    <row r="1061" spans="4:23" s="12" customFormat="1" ht="30.75" customHeight="1" thickTop="1" thickBot="1" x14ac:dyDescent="0.35">
      <c r="D1061" s="10"/>
      <c r="G1061" s="13">
        <f t="shared" si="84"/>
        <v>1060</v>
      </c>
      <c r="H1061" s="18">
        <v>45962</v>
      </c>
      <c r="I1061" s="15" t="s">
        <v>23</v>
      </c>
      <c r="J1061" s="15">
        <v>57600</v>
      </c>
      <c r="K1061" s="15">
        <v>300</v>
      </c>
      <c r="L1061" s="15">
        <v>50688</v>
      </c>
      <c r="M1061" s="16">
        <f t="shared" si="80"/>
        <v>168.96</v>
      </c>
      <c r="N1061" s="15">
        <v>0</v>
      </c>
      <c r="O1061" s="16">
        <f t="shared" si="81"/>
        <v>57600</v>
      </c>
      <c r="P1061" s="15" t="s">
        <v>18</v>
      </c>
      <c r="Q1061" s="15">
        <v>0.06</v>
      </c>
      <c r="R1061" s="16">
        <f t="shared" si="82"/>
        <v>3456</v>
      </c>
      <c r="S1061" s="15">
        <v>0</v>
      </c>
      <c r="T1061" s="15">
        <v>0</v>
      </c>
      <c r="U1061" s="17">
        <f t="shared" si="83"/>
        <v>3456</v>
      </c>
      <c r="V1061" s="12" t="s">
        <v>59</v>
      </c>
      <c r="W1061" s="12">
        <v>136</v>
      </c>
    </row>
    <row r="1062" spans="4:23" s="12" customFormat="1" ht="30.75" customHeight="1" thickTop="1" thickBot="1" x14ac:dyDescent="0.35">
      <c r="D1062" s="10"/>
      <c r="G1062" s="13">
        <f t="shared" si="84"/>
        <v>1061</v>
      </c>
      <c r="H1062" s="18">
        <v>45962</v>
      </c>
      <c r="I1062" s="15" t="s">
        <v>24</v>
      </c>
      <c r="J1062" s="15">
        <v>6500.8</v>
      </c>
      <c r="K1062" s="15">
        <v>20</v>
      </c>
      <c r="L1062" s="15">
        <v>6110.75</v>
      </c>
      <c r="M1062" s="16">
        <f t="shared" si="80"/>
        <v>305.53750000000002</v>
      </c>
      <c r="N1062" s="15">
        <v>0</v>
      </c>
      <c r="O1062" s="16">
        <f t="shared" si="81"/>
        <v>6500.8</v>
      </c>
      <c r="P1062" s="15" t="s">
        <v>18</v>
      </c>
      <c r="Q1062" s="15">
        <v>0.06</v>
      </c>
      <c r="R1062" s="16">
        <f t="shared" si="82"/>
        <v>390.048</v>
      </c>
      <c r="S1062" s="15">
        <v>0</v>
      </c>
      <c r="T1062" s="15">
        <v>0</v>
      </c>
      <c r="U1062" s="17">
        <f t="shared" si="83"/>
        <v>390.048</v>
      </c>
      <c r="V1062" s="12" t="s">
        <v>59</v>
      </c>
      <c r="W1062" s="12">
        <v>136</v>
      </c>
    </row>
    <row r="1063" spans="4:23" s="12" customFormat="1" ht="30.75" customHeight="1" thickTop="1" thickBot="1" x14ac:dyDescent="0.35">
      <c r="D1063" s="10"/>
      <c r="G1063" s="13">
        <f t="shared" si="84"/>
        <v>1062</v>
      </c>
      <c r="H1063" s="18">
        <v>45962</v>
      </c>
      <c r="I1063" s="15" t="s">
        <v>31</v>
      </c>
      <c r="J1063" s="15">
        <v>3840</v>
      </c>
      <c r="K1063" s="15">
        <v>20</v>
      </c>
      <c r="L1063" s="15">
        <v>3609.6</v>
      </c>
      <c r="M1063" s="16">
        <f t="shared" si="80"/>
        <v>180.48</v>
      </c>
      <c r="N1063" s="15">
        <v>0</v>
      </c>
      <c r="O1063" s="16">
        <f t="shared" si="81"/>
        <v>3840</v>
      </c>
      <c r="P1063" s="15" t="s">
        <v>18</v>
      </c>
      <c r="Q1063" s="15">
        <v>0.06</v>
      </c>
      <c r="R1063" s="16">
        <f t="shared" si="82"/>
        <v>230.39999999999998</v>
      </c>
      <c r="S1063" s="15">
        <v>0</v>
      </c>
      <c r="T1063" s="15">
        <v>0</v>
      </c>
      <c r="U1063" s="17">
        <f t="shared" si="83"/>
        <v>230.39999999999998</v>
      </c>
      <c r="V1063" s="12" t="s">
        <v>59</v>
      </c>
      <c r="W1063" s="12">
        <v>136</v>
      </c>
    </row>
    <row r="1064" spans="4:23" s="12" customFormat="1" ht="30.75" customHeight="1" thickTop="1" thickBot="1" x14ac:dyDescent="0.35">
      <c r="D1064" s="10"/>
      <c r="G1064" s="13">
        <f t="shared" si="84"/>
        <v>1063</v>
      </c>
      <c r="H1064" s="18">
        <v>45962</v>
      </c>
      <c r="I1064" s="15" t="s">
        <v>36</v>
      </c>
      <c r="J1064" s="15">
        <v>650.08000000000004</v>
      </c>
      <c r="K1064" s="15">
        <v>2</v>
      </c>
      <c r="L1064" s="15">
        <v>611.08000000000004</v>
      </c>
      <c r="M1064" s="16">
        <f t="shared" si="80"/>
        <v>305.54000000000002</v>
      </c>
      <c r="N1064" s="15">
        <v>0</v>
      </c>
      <c r="O1064" s="16">
        <f t="shared" si="81"/>
        <v>650.08000000000004</v>
      </c>
      <c r="P1064" s="15" t="s">
        <v>18</v>
      </c>
      <c r="Q1064" s="15">
        <v>0.06</v>
      </c>
      <c r="R1064" s="16">
        <f t="shared" si="82"/>
        <v>39.004800000000003</v>
      </c>
      <c r="S1064" s="15">
        <v>0</v>
      </c>
      <c r="T1064" s="15">
        <v>0</v>
      </c>
      <c r="U1064" s="17">
        <f t="shared" si="83"/>
        <v>39.004800000000003</v>
      </c>
      <c r="V1064" s="12" t="s">
        <v>59</v>
      </c>
      <c r="W1064" s="12">
        <v>136</v>
      </c>
    </row>
    <row r="1065" spans="4:23" s="12" customFormat="1" ht="30.75" customHeight="1" thickTop="1" thickBot="1" x14ac:dyDescent="0.35">
      <c r="D1065" s="10"/>
      <c r="G1065" s="13">
        <f t="shared" si="84"/>
        <v>1064</v>
      </c>
      <c r="H1065" s="18">
        <v>45962</v>
      </c>
      <c r="I1065" s="15" t="s">
        <v>28</v>
      </c>
      <c r="J1065" s="15">
        <v>53515</v>
      </c>
      <c r="K1065" s="15">
        <v>100</v>
      </c>
      <c r="L1065" s="15">
        <v>52444.7</v>
      </c>
      <c r="M1065" s="16">
        <f t="shared" si="80"/>
        <v>524.447</v>
      </c>
      <c r="N1065" s="15">
        <v>0</v>
      </c>
      <c r="O1065" s="16">
        <f t="shared" si="81"/>
        <v>53515</v>
      </c>
      <c r="P1065" s="15" t="s">
        <v>29</v>
      </c>
      <c r="Q1065" s="15">
        <v>0.02</v>
      </c>
      <c r="R1065" s="16">
        <f t="shared" si="82"/>
        <v>1070.3</v>
      </c>
      <c r="S1065" s="15">
        <v>0</v>
      </c>
      <c r="T1065" s="15">
        <v>0</v>
      </c>
      <c r="U1065" s="17">
        <f t="shared" si="83"/>
        <v>1070.3</v>
      </c>
      <c r="V1065" s="12" t="s">
        <v>59</v>
      </c>
      <c r="W1065" s="12">
        <v>136</v>
      </c>
    </row>
    <row r="1066" spans="4:23" s="12" customFormat="1" ht="30.75" customHeight="1" thickTop="1" thickBot="1" x14ac:dyDescent="0.35">
      <c r="D1066" s="10"/>
      <c r="G1066" s="13">
        <f t="shared" si="84"/>
        <v>1065</v>
      </c>
      <c r="H1066" s="18">
        <v>45964</v>
      </c>
      <c r="I1066" s="15" t="s">
        <v>51</v>
      </c>
      <c r="J1066" s="15">
        <v>2800</v>
      </c>
      <c r="K1066" s="15">
        <v>10</v>
      </c>
      <c r="L1066" s="15">
        <v>2660</v>
      </c>
      <c r="M1066" s="16">
        <f t="shared" si="80"/>
        <v>266</v>
      </c>
      <c r="N1066" s="15">
        <v>0</v>
      </c>
      <c r="O1066" s="16">
        <f t="shared" si="81"/>
        <v>2800</v>
      </c>
      <c r="P1066" s="15" t="s">
        <v>33</v>
      </c>
      <c r="Q1066" s="15">
        <v>0.01</v>
      </c>
      <c r="R1066" s="16">
        <f t="shared" si="82"/>
        <v>28</v>
      </c>
      <c r="S1066" s="15">
        <v>0</v>
      </c>
      <c r="T1066" s="15">
        <v>0</v>
      </c>
      <c r="U1066" s="17">
        <f t="shared" si="83"/>
        <v>28</v>
      </c>
      <c r="V1066" s="12" t="s">
        <v>59</v>
      </c>
      <c r="W1066" s="12">
        <v>137</v>
      </c>
    </row>
    <row r="1067" spans="4:23" s="12" customFormat="1" ht="30.75" customHeight="1" thickTop="1" thickBot="1" x14ac:dyDescent="0.35">
      <c r="D1067" s="10"/>
      <c r="G1067" s="13">
        <f t="shared" si="84"/>
        <v>1066</v>
      </c>
      <c r="H1067" s="18">
        <v>45964</v>
      </c>
      <c r="I1067" s="15" t="s">
        <v>27</v>
      </c>
      <c r="J1067" s="15">
        <v>18606</v>
      </c>
      <c r="K1067" s="15">
        <v>50</v>
      </c>
      <c r="L1067" s="15">
        <v>17303.580000000002</v>
      </c>
      <c r="M1067" s="16">
        <f t="shared" si="80"/>
        <v>346.07160000000005</v>
      </c>
      <c r="N1067" s="15">
        <v>0</v>
      </c>
      <c r="O1067" s="16">
        <f t="shared" si="81"/>
        <v>18606</v>
      </c>
      <c r="P1067" s="15" t="s">
        <v>26</v>
      </c>
      <c r="Q1067" s="15">
        <v>0.02</v>
      </c>
      <c r="R1067" s="16">
        <f t="shared" si="82"/>
        <v>372.12</v>
      </c>
      <c r="S1067" s="15">
        <v>0</v>
      </c>
      <c r="T1067" s="15">
        <v>0</v>
      </c>
      <c r="U1067" s="17">
        <f t="shared" si="83"/>
        <v>372.12</v>
      </c>
      <c r="V1067" s="12" t="s">
        <v>59</v>
      </c>
      <c r="W1067" s="12">
        <v>137</v>
      </c>
    </row>
    <row r="1068" spans="4:23" s="12" customFormat="1" ht="30.75" customHeight="1" thickTop="1" thickBot="1" x14ac:dyDescent="0.35">
      <c r="D1068" s="10"/>
      <c r="G1068" s="13">
        <f t="shared" si="84"/>
        <v>1067</v>
      </c>
      <c r="H1068" s="18">
        <v>45964</v>
      </c>
      <c r="I1068" s="15" t="s">
        <v>30</v>
      </c>
      <c r="J1068" s="15">
        <v>92175</v>
      </c>
      <c r="K1068" s="15">
        <v>300</v>
      </c>
      <c r="L1068" s="15">
        <v>63508.58</v>
      </c>
      <c r="M1068" s="16">
        <f t="shared" si="80"/>
        <v>211.69526666666667</v>
      </c>
      <c r="N1068" s="15">
        <v>0</v>
      </c>
      <c r="O1068" s="16">
        <f t="shared" si="81"/>
        <v>92175</v>
      </c>
      <c r="P1068" s="15" t="s">
        <v>18</v>
      </c>
      <c r="Q1068" s="15">
        <v>0.06</v>
      </c>
      <c r="R1068" s="16">
        <f t="shared" si="82"/>
        <v>5530.5</v>
      </c>
      <c r="S1068" s="15">
        <v>0</v>
      </c>
      <c r="T1068" s="15">
        <v>0</v>
      </c>
      <c r="U1068" s="17">
        <f t="shared" si="83"/>
        <v>5530.5</v>
      </c>
      <c r="V1068" s="12" t="s">
        <v>59</v>
      </c>
      <c r="W1068" s="12">
        <v>137</v>
      </c>
    </row>
    <row r="1069" spans="4:23" s="12" customFormat="1" ht="30.75" customHeight="1" thickTop="1" thickBot="1" x14ac:dyDescent="0.35">
      <c r="D1069" s="10"/>
      <c r="G1069" s="13">
        <f t="shared" si="84"/>
        <v>1068</v>
      </c>
      <c r="H1069" s="18">
        <v>45964</v>
      </c>
      <c r="I1069" s="15" t="s">
        <v>17</v>
      </c>
      <c r="J1069" s="15">
        <v>153625</v>
      </c>
      <c r="K1069" s="15">
        <v>500</v>
      </c>
      <c r="L1069" s="15">
        <v>105847.63</v>
      </c>
      <c r="M1069" s="16">
        <f t="shared" si="80"/>
        <v>211.69526000000002</v>
      </c>
      <c r="N1069" s="15">
        <v>0</v>
      </c>
      <c r="O1069" s="16">
        <f t="shared" si="81"/>
        <v>153625</v>
      </c>
      <c r="P1069" s="15" t="s">
        <v>18</v>
      </c>
      <c r="Q1069" s="15">
        <v>0.06</v>
      </c>
      <c r="R1069" s="16">
        <f t="shared" si="82"/>
        <v>9217.5</v>
      </c>
      <c r="S1069" s="15">
        <v>0</v>
      </c>
      <c r="T1069" s="15">
        <v>0</v>
      </c>
      <c r="U1069" s="17">
        <f t="shared" si="83"/>
        <v>9217.5</v>
      </c>
      <c r="V1069" s="12" t="s">
        <v>59</v>
      </c>
      <c r="W1069" s="12">
        <v>137</v>
      </c>
    </row>
    <row r="1070" spans="4:23" s="12" customFormat="1" ht="30.75" customHeight="1" thickTop="1" thickBot="1" x14ac:dyDescent="0.35">
      <c r="D1070" s="10"/>
      <c r="G1070" s="13">
        <f t="shared" si="84"/>
        <v>1069</v>
      </c>
      <c r="H1070" s="18">
        <v>45964</v>
      </c>
      <c r="I1070" s="36" t="s">
        <v>20</v>
      </c>
      <c r="J1070" s="15">
        <v>624</v>
      </c>
      <c r="K1070" s="15">
        <v>2</v>
      </c>
      <c r="L1070" s="15">
        <v>586.55999999999995</v>
      </c>
      <c r="M1070" s="16">
        <f t="shared" si="80"/>
        <v>293.27999999999997</v>
      </c>
      <c r="N1070" s="15">
        <v>0</v>
      </c>
      <c r="O1070" s="16">
        <f t="shared" si="81"/>
        <v>624</v>
      </c>
      <c r="P1070" s="15" t="s">
        <v>18</v>
      </c>
      <c r="Q1070" s="15">
        <v>0.06</v>
      </c>
      <c r="R1070" s="16">
        <f t="shared" si="82"/>
        <v>37.44</v>
      </c>
      <c r="S1070" s="15">
        <v>0</v>
      </c>
      <c r="T1070" s="15">
        <v>0</v>
      </c>
      <c r="U1070" s="17">
        <f t="shared" si="83"/>
        <v>37.44</v>
      </c>
      <c r="V1070" s="12" t="s">
        <v>59</v>
      </c>
      <c r="W1070" s="12">
        <v>137</v>
      </c>
    </row>
    <row r="1071" spans="4:23" s="12" customFormat="1" ht="30.75" customHeight="1" thickTop="1" thickBot="1" x14ac:dyDescent="0.35">
      <c r="D1071" s="10"/>
      <c r="G1071" s="13">
        <f t="shared" si="84"/>
        <v>1070</v>
      </c>
      <c r="H1071" s="18">
        <v>45964</v>
      </c>
      <c r="I1071" s="15" t="s">
        <v>21</v>
      </c>
      <c r="J1071" s="15">
        <v>1977.6</v>
      </c>
      <c r="K1071" s="15">
        <v>8</v>
      </c>
      <c r="L1071" s="15">
        <v>1858.94</v>
      </c>
      <c r="M1071" s="16">
        <f t="shared" si="80"/>
        <v>232.36750000000001</v>
      </c>
      <c r="N1071" s="15">
        <v>0</v>
      </c>
      <c r="O1071" s="16">
        <f t="shared" si="81"/>
        <v>1977.6</v>
      </c>
      <c r="P1071" s="15" t="s">
        <v>18</v>
      </c>
      <c r="Q1071" s="15">
        <v>0.06</v>
      </c>
      <c r="R1071" s="16">
        <f t="shared" si="82"/>
        <v>118.65599999999999</v>
      </c>
      <c r="S1071" s="15">
        <v>0</v>
      </c>
      <c r="T1071" s="15">
        <v>0</v>
      </c>
      <c r="U1071" s="17">
        <f t="shared" si="83"/>
        <v>118.65599999999999</v>
      </c>
      <c r="V1071" s="12" t="s">
        <v>59</v>
      </c>
      <c r="W1071" s="12">
        <v>137</v>
      </c>
    </row>
    <row r="1072" spans="4:23" s="12" customFormat="1" ht="30.75" customHeight="1" thickTop="1" thickBot="1" x14ac:dyDescent="0.35">
      <c r="D1072" s="10"/>
      <c r="G1072" s="13">
        <f t="shared" si="84"/>
        <v>1071</v>
      </c>
      <c r="H1072" s="18">
        <v>45964</v>
      </c>
      <c r="I1072" s="15" t="s">
        <v>22</v>
      </c>
      <c r="J1072" s="15">
        <v>2692.5</v>
      </c>
      <c r="K1072" s="15">
        <v>10</v>
      </c>
      <c r="L1072" s="15">
        <v>2530.9499999999998</v>
      </c>
      <c r="M1072" s="16">
        <f t="shared" si="80"/>
        <v>253.09499999999997</v>
      </c>
      <c r="N1072" s="15">
        <v>0</v>
      </c>
      <c r="O1072" s="16">
        <f t="shared" si="81"/>
        <v>2692.5</v>
      </c>
      <c r="P1072" s="15" t="s">
        <v>18</v>
      </c>
      <c r="Q1072" s="15">
        <v>0.06</v>
      </c>
      <c r="R1072" s="16">
        <f t="shared" si="82"/>
        <v>161.54999999999998</v>
      </c>
      <c r="S1072" s="15">
        <v>0</v>
      </c>
      <c r="T1072" s="15">
        <v>0</v>
      </c>
      <c r="U1072" s="17">
        <f t="shared" si="83"/>
        <v>161.54999999999998</v>
      </c>
      <c r="V1072" s="12" t="s">
        <v>59</v>
      </c>
      <c r="W1072" s="12">
        <v>137</v>
      </c>
    </row>
    <row r="1073" spans="4:23" s="12" customFormat="1" ht="30.75" customHeight="1" thickTop="1" thickBot="1" x14ac:dyDescent="0.35">
      <c r="D1073" s="10"/>
      <c r="G1073" s="13">
        <f t="shared" si="84"/>
        <v>1072</v>
      </c>
      <c r="H1073" s="18">
        <v>45964</v>
      </c>
      <c r="I1073" s="15" t="s">
        <v>23</v>
      </c>
      <c r="J1073" s="15">
        <v>57600</v>
      </c>
      <c r="K1073" s="15">
        <v>300</v>
      </c>
      <c r="L1073" s="15">
        <v>50688</v>
      </c>
      <c r="M1073" s="16">
        <f t="shared" si="80"/>
        <v>168.96</v>
      </c>
      <c r="N1073" s="15">
        <v>0</v>
      </c>
      <c r="O1073" s="16">
        <f t="shared" si="81"/>
        <v>57600</v>
      </c>
      <c r="P1073" s="15" t="s">
        <v>18</v>
      </c>
      <c r="Q1073" s="15">
        <v>0.06</v>
      </c>
      <c r="R1073" s="16">
        <f t="shared" si="82"/>
        <v>3456</v>
      </c>
      <c r="S1073" s="15">
        <v>0</v>
      </c>
      <c r="T1073" s="15">
        <v>0</v>
      </c>
      <c r="U1073" s="17">
        <f t="shared" si="83"/>
        <v>3456</v>
      </c>
      <c r="V1073" s="12" t="s">
        <v>59</v>
      </c>
      <c r="W1073" s="12">
        <v>137</v>
      </c>
    </row>
    <row r="1074" spans="4:23" s="12" customFormat="1" ht="30.75" customHeight="1" thickTop="1" thickBot="1" x14ac:dyDescent="0.35">
      <c r="D1074" s="10"/>
      <c r="G1074" s="13">
        <f t="shared" si="84"/>
        <v>1073</v>
      </c>
      <c r="H1074" s="18">
        <v>45964</v>
      </c>
      <c r="I1074" s="15" t="s">
        <v>24</v>
      </c>
      <c r="J1074" s="15">
        <v>6500.8</v>
      </c>
      <c r="K1074" s="15">
        <v>20</v>
      </c>
      <c r="L1074" s="15">
        <v>6110.75</v>
      </c>
      <c r="M1074" s="16">
        <f t="shared" si="80"/>
        <v>305.53750000000002</v>
      </c>
      <c r="N1074" s="15">
        <v>0</v>
      </c>
      <c r="O1074" s="16">
        <f t="shared" si="81"/>
        <v>6500.8</v>
      </c>
      <c r="P1074" s="15" t="s">
        <v>18</v>
      </c>
      <c r="Q1074" s="15">
        <v>0.06</v>
      </c>
      <c r="R1074" s="16">
        <f t="shared" si="82"/>
        <v>390.048</v>
      </c>
      <c r="S1074" s="15">
        <v>0</v>
      </c>
      <c r="T1074" s="15">
        <v>0</v>
      </c>
      <c r="U1074" s="17">
        <f t="shared" si="83"/>
        <v>390.048</v>
      </c>
      <c r="V1074" s="12" t="s">
        <v>59</v>
      </c>
      <c r="W1074" s="12">
        <v>137</v>
      </c>
    </row>
    <row r="1075" spans="4:23" s="12" customFormat="1" ht="30.75" customHeight="1" thickTop="1" thickBot="1" x14ac:dyDescent="0.35">
      <c r="D1075" s="10"/>
      <c r="G1075" s="13">
        <f t="shared" si="84"/>
        <v>1074</v>
      </c>
      <c r="H1075" s="18">
        <v>45964</v>
      </c>
      <c r="I1075" s="15" t="s">
        <v>31</v>
      </c>
      <c r="J1075" s="15">
        <v>9600</v>
      </c>
      <c r="K1075" s="15">
        <v>50</v>
      </c>
      <c r="L1075" s="15">
        <v>9024</v>
      </c>
      <c r="M1075" s="16">
        <f t="shared" si="80"/>
        <v>180.48</v>
      </c>
      <c r="N1075" s="15">
        <v>0</v>
      </c>
      <c r="O1075" s="16">
        <f t="shared" si="81"/>
        <v>9600</v>
      </c>
      <c r="P1075" s="15" t="s">
        <v>18</v>
      </c>
      <c r="Q1075" s="15">
        <v>0.06</v>
      </c>
      <c r="R1075" s="16">
        <f t="shared" si="82"/>
        <v>576</v>
      </c>
      <c r="S1075" s="15">
        <v>0</v>
      </c>
      <c r="T1075" s="15">
        <v>0</v>
      </c>
      <c r="U1075" s="17">
        <f t="shared" si="83"/>
        <v>576</v>
      </c>
      <c r="V1075" s="12" t="s">
        <v>59</v>
      </c>
      <c r="W1075" s="12">
        <v>137</v>
      </c>
    </row>
    <row r="1076" spans="4:23" s="12" customFormat="1" ht="30.75" customHeight="1" thickTop="1" thickBot="1" x14ac:dyDescent="0.35">
      <c r="D1076" s="10"/>
      <c r="G1076" s="13">
        <f t="shared" si="84"/>
        <v>1075</v>
      </c>
      <c r="H1076" s="18">
        <v>45965</v>
      </c>
      <c r="I1076" s="15" t="s">
        <v>25</v>
      </c>
      <c r="J1076" s="15">
        <v>24002</v>
      </c>
      <c r="K1076" s="15">
        <v>100</v>
      </c>
      <c r="L1076" s="15">
        <v>20216.88</v>
      </c>
      <c r="M1076" s="16">
        <f t="shared" si="80"/>
        <v>202.1688</v>
      </c>
      <c r="N1076" s="15">
        <v>0</v>
      </c>
      <c r="O1076" s="16">
        <f t="shared" si="81"/>
        <v>24002</v>
      </c>
      <c r="P1076" s="15" t="s">
        <v>26</v>
      </c>
      <c r="Q1076" s="15">
        <v>0.02</v>
      </c>
      <c r="R1076" s="16">
        <f t="shared" si="82"/>
        <v>480.04</v>
      </c>
      <c r="S1076" s="15">
        <v>0</v>
      </c>
      <c r="T1076" s="15">
        <v>0</v>
      </c>
      <c r="U1076" s="17">
        <f t="shared" si="83"/>
        <v>480.04</v>
      </c>
      <c r="V1076" s="12" t="s">
        <v>59</v>
      </c>
      <c r="W1076" s="12">
        <v>138</v>
      </c>
    </row>
    <row r="1077" spans="4:23" s="12" customFormat="1" ht="30.75" customHeight="1" thickTop="1" thickBot="1" x14ac:dyDescent="0.35">
      <c r="D1077" s="10"/>
      <c r="G1077" s="13">
        <f t="shared" si="84"/>
        <v>1076</v>
      </c>
      <c r="H1077" s="18">
        <v>45965</v>
      </c>
      <c r="I1077" s="15" t="s">
        <v>41</v>
      </c>
      <c r="J1077" s="15">
        <v>13450.8</v>
      </c>
      <c r="K1077" s="15">
        <v>100</v>
      </c>
      <c r="L1077" s="15">
        <v>11036.38</v>
      </c>
      <c r="M1077" s="16">
        <f t="shared" si="80"/>
        <v>110.3638</v>
      </c>
      <c r="N1077" s="15">
        <v>0</v>
      </c>
      <c r="O1077" s="16">
        <f t="shared" si="81"/>
        <v>13450.8</v>
      </c>
      <c r="P1077" s="15" t="s">
        <v>26</v>
      </c>
      <c r="Q1077" s="15">
        <v>0.02</v>
      </c>
      <c r="R1077" s="16">
        <f t="shared" si="82"/>
        <v>269.01599999999996</v>
      </c>
      <c r="S1077" s="15">
        <v>0</v>
      </c>
      <c r="T1077" s="15">
        <v>0</v>
      </c>
      <c r="U1077" s="17">
        <f t="shared" si="83"/>
        <v>269.01599999999996</v>
      </c>
      <c r="V1077" s="12" t="s">
        <v>59</v>
      </c>
      <c r="W1077" s="12">
        <v>138</v>
      </c>
    </row>
    <row r="1078" spans="4:23" s="12" customFormat="1" ht="30.75" customHeight="1" thickTop="1" thickBot="1" x14ac:dyDescent="0.35">
      <c r="D1078" s="10"/>
      <c r="G1078" s="13">
        <f t="shared" si="84"/>
        <v>1077</v>
      </c>
      <c r="H1078" s="18">
        <v>45965</v>
      </c>
      <c r="I1078" s="15" t="s">
        <v>30</v>
      </c>
      <c r="J1078" s="15">
        <v>87566.25</v>
      </c>
      <c r="K1078" s="15">
        <v>285</v>
      </c>
      <c r="L1078" s="15">
        <v>60333.15</v>
      </c>
      <c r="M1078" s="16">
        <f t="shared" si="80"/>
        <v>211.69526315789474</v>
      </c>
      <c r="N1078" s="15">
        <v>0</v>
      </c>
      <c r="O1078" s="16">
        <f t="shared" si="81"/>
        <v>87566.25</v>
      </c>
      <c r="P1078" s="15" t="s">
        <v>18</v>
      </c>
      <c r="Q1078" s="15">
        <v>0.06</v>
      </c>
      <c r="R1078" s="16">
        <f t="shared" si="82"/>
        <v>5253.9749999999995</v>
      </c>
      <c r="S1078" s="15">
        <v>0</v>
      </c>
      <c r="T1078" s="15">
        <v>0</v>
      </c>
      <c r="U1078" s="17">
        <f t="shared" si="83"/>
        <v>5253.9749999999995</v>
      </c>
      <c r="V1078" s="12" t="s">
        <v>59</v>
      </c>
      <c r="W1078" s="12">
        <v>138</v>
      </c>
    </row>
    <row r="1079" spans="4:23" s="12" customFormat="1" ht="30.75" customHeight="1" thickTop="1" thickBot="1" x14ac:dyDescent="0.35">
      <c r="D1079" s="10"/>
      <c r="G1079" s="13">
        <f t="shared" si="84"/>
        <v>1078</v>
      </c>
      <c r="H1079" s="18">
        <v>45965</v>
      </c>
      <c r="I1079" s="15" t="s">
        <v>17</v>
      </c>
      <c r="J1079" s="15">
        <v>112146.25</v>
      </c>
      <c r="K1079" s="15">
        <v>365</v>
      </c>
      <c r="L1079" s="15">
        <v>77268.77</v>
      </c>
      <c r="M1079" s="16">
        <f t="shared" si="80"/>
        <v>211.69526027397262</v>
      </c>
      <c r="N1079" s="15">
        <v>0</v>
      </c>
      <c r="O1079" s="16">
        <f t="shared" si="81"/>
        <v>112146.25</v>
      </c>
      <c r="P1079" s="15" t="s">
        <v>18</v>
      </c>
      <c r="Q1079" s="15">
        <v>0.06</v>
      </c>
      <c r="R1079" s="16">
        <f t="shared" si="82"/>
        <v>6728.7749999999996</v>
      </c>
      <c r="S1079" s="15">
        <v>0</v>
      </c>
      <c r="T1079" s="15">
        <v>0</v>
      </c>
      <c r="U1079" s="17">
        <f t="shared" si="83"/>
        <v>6728.7749999999996</v>
      </c>
      <c r="V1079" s="12" t="s">
        <v>59</v>
      </c>
      <c r="W1079" s="12">
        <v>138</v>
      </c>
    </row>
    <row r="1080" spans="4:23" s="12" customFormat="1" ht="30.75" customHeight="1" thickTop="1" thickBot="1" x14ac:dyDescent="0.35">
      <c r="D1080" s="10"/>
      <c r="G1080" s="13">
        <f t="shared" si="84"/>
        <v>1079</v>
      </c>
      <c r="H1080" s="18">
        <v>45965</v>
      </c>
      <c r="I1080" s="15" t="s">
        <v>21</v>
      </c>
      <c r="J1080" s="15">
        <v>988.8</v>
      </c>
      <c r="K1080" s="15">
        <v>4</v>
      </c>
      <c r="L1080" s="15">
        <v>929.47</v>
      </c>
      <c r="M1080" s="16">
        <f t="shared" si="80"/>
        <v>232.36750000000001</v>
      </c>
      <c r="N1080" s="15">
        <v>0</v>
      </c>
      <c r="O1080" s="16">
        <f t="shared" si="81"/>
        <v>988.8</v>
      </c>
      <c r="P1080" s="15" t="s">
        <v>18</v>
      </c>
      <c r="Q1080" s="15">
        <v>0.06</v>
      </c>
      <c r="R1080" s="16">
        <f t="shared" si="82"/>
        <v>59.327999999999996</v>
      </c>
      <c r="S1080" s="15">
        <v>0</v>
      </c>
      <c r="T1080" s="15">
        <v>0</v>
      </c>
      <c r="U1080" s="17">
        <f t="shared" si="83"/>
        <v>59.327999999999996</v>
      </c>
      <c r="V1080" s="12" t="s">
        <v>59</v>
      </c>
      <c r="W1080" s="12">
        <v>138</v>
      </c>
    </row>
    <row r="1081" spans="4:23" s="12" customFormat="1" ht="30.75" customHeight="1" thickTop="1" thickBot="1" x14ac:dyDescent="0.35">
      <c r="D1081" s="10"/>
      <c r="G1081" s="13">
        <f t="shared" si="84"/>
        <v>1080</v>
      </c>
      <c r="H1081" s="18">
        <v>45965</v>
      </c>
      <c r="I1081" s="15" t="s">
        <v>23</v>
      </c>
      <c r="J1081" s="15">
        <v>57600</v>
      </c>
      <c r="K1081" s="15">
        <v>300</v>
      </c>
      <c r="L1081" s="15">
        <v>50688</v>
      </c>
      <c r="M1081" s="16">
        <f t="shared" si="80"/>
        <v>168.96</v>
      </c>
      <c r="N1081" s="15">
        <v>0</v>
      </c>
      <c r="O1081" s="16">
        <f t="shared" si="81"/>
        <v>57600</v>
      </c>
      <c r="P1081" s="15" t="s">
        <v>18</v>
      </c>
      <c r="Q1081" s="15">
        <v>0.06</v>
      </c>
      <c r="R1081" s="16">
        <f t="shared" si="82"/>
        <v>3456</v>
      </c>
      <c r="S1081" s="15">
        <v>0</v>
      </c>
      <c r="T1081" s="15">
        <v>0</v>
      </c>
      <c r="U1081" s="17">
        <f t="shared" si="83"/>
        <v>3456</v>
      </c>
      <c r="V1081" s="12" t="s">
        <v>59</v>
      </c>
      <c r="W1081" s="12">
        <v>138</v>
      </c>
    </row>
    <row r="1082" spans="4:23" s="12" customFormat="1" ht="30.75" customHeight="1" thickTop="1" thickBot="1" x14ac:dyDescent="0.35">
      <c r="D1082" s="10"/>
      <c r="G1082" s="13">
        <f t="shared" si="84"/>
        <v>1081</v>
      </c>
      <c r="H1082" s="18">
        <v>45965</v>
      </c>
      <c r="I1082" s="15" t="s">
        <v>24</v>
      </c>
      <c r="J1082" s="15">
        <v>9751.2000000000007</v>
      </c>
      <c r="K1082" s="15">
        <v>30</v>
      </c>
      <c r="L1082" s="15">
        <v>9166.1299999999992</v>
      </c>
      <c r="M1082" s="16">
        <f t="shared" si="80"/>
        <v>305.53766666666667</v>
      </c>
      <c r="N1082" s="15">
        <v>0</v>
      </c>
      <c r="O1082" s="16">
        <f t="shared" si="81"/>
        <v>9751.2000000000007</v>
      </c>
      <c r="P1082" s="15" t="s">
        <v>18</v>
      </c>
      <c r="Q1082" s="15">
        <v>0.06</v>
      </c>
      <c r="R1082" s="16">
        <f t="shared" si="82"/>
        <v>585.072</v>
      </c>
      <c r="S1082" s="15">
        <v>0</v>
      </c>
      <c r="T1082" s="15">
        <v>0</v>
      </c>
      <c r="U1082" s="17">
        <f t="shared" si="83"/>
        <v>585.072</v>
      </c>
      <c r="V1082" s="12" t="s">
        <v>59</v>
      </c>
      <c r="W1082" s="12">
        <v>138</v>
      </c>
    </row>
    <row r="1083" spans="4:23" s="12" customFormat="1" ht="30.75" customHeight="1" thickTop="1" thickBot="1" x14ac:dyDescent="0.35">
      <c r="D1083" s="10"/>
      <c r="G1083" s="13">
        <f t="shared" si="84"/>
        <v>1082</v>
      </c>
      <c r="H1083" s="18">
        <v>45965</v>
      </c>
      <c r="I1083" s="15" t="s">
        <v>31</v>
      </c>
      <c r="J1083" s="15">
        <v>5760</v>
      </c>
      <c r="K1083" s="15">
        <v>30</v>
      </c>
      <c r="L1083" s="15">
        <v>5414.4</v>
      </c>
      <c r="M1083" s="16">
        <f t="shared" si="80"/>
        <v>180.48</v>
      </c>
      <c r="N1083" s="15">
        <v>0</v>
      </c>
      <c r="O1083" s="16">
        <f t="shared" si="81"/>
        <v>5760</v>
      </c>
      <c r="P1083" s="15" t="s">
        <v>18</v>
      </c>
      <c r="Q1083" s="15">
        <v>0.06</v>
      </c>
      <c r="R1083" s="16">
        <f t="shared" si="82"/>
        <v>345.59999999999997</v>
      </c>
      <c r="S1083" s="15">
        <v>0</v>
      </c>
      <c r="T1083" s="15">
        <v>0</v>
      </c>
      <c r="U1083" s="17">
        <f t="shared" si="83"/>
        <v>345.59999999999997</v>
      </c>
      <c r="V1083" s="12" t="s">
        <v>59</v>
      </c>
      <c r="W1083" s="12">
        <v>138</v>
      </c>
    </row>
    <row r="1084" spans="4:23" s="12" customFormat="1" ht="30.75" customHeight="1" thickTop="1" thickBot="1" x14ac:dyDescent="0.35">
      <c r="D1084" s="10"/>
      <c r="G1084" s="13">
        <f t="shared" si="84"/>
        <v>1083</v>
      </c>
      <c r="H1084" s="18">
        <v>45965</v>
      </c>
      <c r="I1084" s="15" t="s">
        <v>28</v>
      </c>
      <c r="J1084" s="15">
        <v>13378.75</v>
      </c>
      <c r="K1084" s="15">
        <v>25</v>
      </c>
      <c r="L1084" s="15">
        <v>13111.18</v>
      </c>
      <c r="M1084" s="16">
        <f t="shared" si="80"/>
        <v>524.44720000000007</v>
      </c>
      <c r="N1084" s="15">
        <v>0</v>
      </c>
      <c r="O1084" s="16">
        <f t="shared" si="81"/>
        <v>13378.75</v>
      </c>
      <c r="P1084" s="15" t="s">
        <v>29</v>
      </c>
      <c r="Q1084" s="15">
        <v>0.02</v>
      </c>
      <c r="R1084" s="16">
        <f t="shared" si="82"/>
        <v>267.57499999999999</v>
      </c>
      <c r="S1084" s="15">
        <v>0</v>
      </c>
      <c r="T1084" s="15">
        <v>0</v>
      </c>
      <c r="U1084" s="17">
        <f t="shared" si="83"/>
        <v>267.57499999999999</v>
      </c>
      <c r="V1084" s="12" t="s">
        <v>59</v>
      </c>
      <c r="W1084" s="12">
        <v>138</v>
      </c>
    </row>
    <row r="1085" spans="4:23" s="12" customFormat="1" ht="30.75" customHeight="1" thickTop="1" thickBot="1" x14ac:dyDescent="0.35">
      <c r="D1085" s="10"/>
      <c r="G1085" s="13">
        <f t="shared" si="84"/>
        <v>1084</v>
      </c>
      <c r="H1085" s="18">
        <v>45968</v>
      </c>
      <c r="I1085" s="15" t="s">
        <v>41</v>
      </c>
      <c r="J1085" s="15">
        <v>80704.800000000003</v>
      </c>
      <c r="K1085" s="15">
        <v>600</v>
      </c>
      <c r="L1085" s="15">
        <v>66218.289999999994</v>
      </c>
      <c r="M1085" s="16">
        <f t="shared" si="80"/>
        <v>110.36381666666665</v>
      </c>
      <c r="N1085" s="15">
        <v>0</v>
      </c>
      <c r="O1085" s="16">
        <f t="shared" si="81"/>
        <v>80704.800000000003</v>
      </c>
      <c r="P1085" s="15" t="s">
        <v>26</v>
      </c>
      <c r="Q1085" s="15">
        <v>0.02</v>
      </c>
      <c r="R1085" s="16">
        <f t="shared" si="82"/>
        <v>1614.096</v>
      </c>
      <c r="S1085" s="15">
        <v>0</v>
      </c>
      <c r="T1085" s="15">
        <v>0</v>
      </c>
      <c r="U1085" s="17">
        <f t="shared" si="83"/>
        <v>1614.096</v>
      </c>
      <c r="V1085" s="12" t="s">
        <v>59</v>
      </c>
      <c r="W1085" s="12">
        <v>139</v>
      </c>
    </row>
    <row r="1086" spans="4:23" s="12" customFormat="1" ht="30.75" customHeight="1" thickTop="1" thickBot="1" x14ac:dyDescent="0.35">
      <c r="D1086" s="10"/>
      <c r="G1086" s="13">
        <f t="shared" si="84"/>
        <v>1085</v>
      </c>
      <c r="H1086" s="18">
        <v>45968</v>
      </c>
      <c r="I1086" s="15" t="s">
        <v>30</v>
      </c>
      <c r="J1086" s="15">
        <v>76812.600000000006</v>
      </c>
      <c r="K1086" s="15">
        <v>250</v>
      </c>
      <c r="L1086" s="15">
        <v>52923.81</v>
      </c>
      <c r="M1086" s="16">
        <f t="shared" si="80"/>
        <v>211.69523999999998</v>
      </c>
      <c r="N1086" s="15">
        <v>0</v>
      </c>
      <c r="O1086" s="16">
        <f t="shared" si="81"/>
        <v>76812.600000000006</v>
      </c>
      <c r="P1086" s="15" t="s">
        <v>18</v>
      </c>
      <c r="Q1086" s="15">
        <v>0.06</v>
      </c>
      <c r="R1086" s="16">
        <f t="shared" si="82"/>
        <v>4608.7560000000003</v>
      </c>
      <c r="S1086" s="15">
        <v>0</v>
      </c>
      <c r="T1086" s="15">
        <v>0</v>
      </c>
      <c r="U1086" s="17">
        <f t="shared" si="83"/>
        <v>4608.7560000000003</v>
      </c>
      <c r="V1086" s="12" t="s">
        <v>59</v>
      </c>
      <c r="W1086" s="12">
        <v>139</v>
      </c>
    </row>
    <row r="1087" spans="4:23" s="12" customFormat="1" ht="30.75" customHeight="1" thickTop="1" thickBot="1" x14ac:dyDescent="0.35">
      <c r="D1087" s="10"/>
      <c r="G1087" s="13">
        <f t="shared" si="84"/>
        <v>1086</v>
      </c>
      <c r="H1087" s="18">
        <v>45968</v>
      </c>
      <c r="I1087" s="15" t="s">
        <v>17</v>
      </c>
      <c r="J1087" s="15">
        <v>92175</v>
      </c>
      <c r="K1087" s="15">
        <v>300</v>
      </c>
      <c r="L1087" s="15">
        <v>63508.58</v>
      </c>
      <c r="M1087" s="16">
        <f t="shared" si="80"/>
        <v>211.69526666666667</v>
      </c>
      <c r="N1087" s="15">
        <v>0</v>
      </c>
      <c r="O1087" s="16">
        <f t="shared" si="81"/>
        <v>92175</v>
      </c>
      <c r="P1087" s="15" t="s">
        <v>18</v>
      </c>
      <c r="Q1087" s="15">
        <v>0.06</v>
      </c>
      <c r="R1087" s="16">
        <f t="shared" si="82"/>
        <v>5530.5</v>
      </c>
      <c r="S1087" s="15">
        <v>0</v>
      </c>
      <c r="T1087" s="15">
        <v>0</v>
      </c>
      <c r="U1087" s="17">
        <f t="shared" si="83"/>
        <v>5530.5</v>
      </c>
      <c r="V1087" s="12" t="s">
        <v>59</v>
      </c>
      <c r="W1087" s="12">
        <v>139</v>
      </c>
    </row>
    <row r="1088" spans="4:23" s="12" customFormat="1" ht="30.75" customHeight="1" thickTop="1" thickBot="1" x14ac:dyDescent="0.35">
      <c r="D1088" s="10"/>
      <c r="G1088" s="13">
        <f t="shared" si="84"/>
        <v>1087</v>
      </c>
      <c r="H1088" s="18">
        <v>45968</v>
      </c>
      <c r="I1088" s="36" t="s">
        <v>20</v>
      </c>
      <c r="J1088" s="15">
        <v>624</v>
      </c>
      <c r="K1088" s="15">
        <v>2</v>
      </c>
      <c r="L1088" s="15">
        <v>586.55999999999995</v>
      </c>
      <c r="M1088" s="16">
        <f t="shared" si="80"/>
        <v>293.27999999999997</v>
      </c>
      <c r="N1088" s="15">
        <v>0</v>
      </c>
      <c r="O1088" s="16">
        <f t="shared" si="81"/>
        <v>624</v>
      </c>
      <c r="P1088" s="15" t="s">
        <v>18</v>
      </c>
      <c r="Q1088" s="15">
        <v>0.06</v>
      </c>
      <c r="R1088" s="16">
        <f t="shared" si="82"/>
        <v>37.44</v>
      </c>
      <c r="S1088" s="15">
        <v>0</v>
      </c>
      <c r="T1088" s="15">
        <v>0</v>
      </c>
      <c r="U1088" s="17">
        <f t="shared" si="83"/>
        <v>37.44</v>
      </c>
      <c r="V1088" s="12" t="s">
        <v>59</v>
      </c>
      <c r="W1088" s="12">
        <v>139</v>
      </c>
    </row>
    <row r="1089" spans="4:23" s="12" customFormat="1" ht="30.75" customHeight="1" thickTop="1" thickBot="1" x14ac:dyDescent="0.35">
      <c r="D1089" s="10"/>
      <c r="G1089" s="13">
        <f t="shared" si="84"/>
        <v>1088</v>
      </c>
      <c r="H1089" s="18">
        <v>45968</v>
      </c>
      <c r="I1089" s="15" t="s">
        <v>21</v>
      </c>
      <c r="J1089" s="15">
        <v>2472</v>
      </c>
      <c r="K1089" s="15">
        <v>10</v>
      </c>
      <c r="L1089" s="15">
        <v>2323.6799999999998</v>
      </c>
      <c r="M1089" s="16">
        <f t="shared" si="80"/>
        <v>232.36799999999999</v>
      </c>
      <c r="N1089" s="15">
        <v>0</v>
      </c>
      <c r="O1089" s="16">
        <f t="shared" si="81"/>
        <v>2472</v>
      </c>
      <c r="P1089" s="15" t="s">
        <v>18</v>
      </c>
      <c r="Q1089" s="15">
        <v>0.06</v>
      </c>
      <c r="R1089" s="16">
        <f t="shared" si="82"/>
        <v>148.32</v>
      </c>
      <c r="S1089" s="15">
        <v>0</v>
      </c>
      <c r="T1089" s="15">
        <v>0</v>
      </c>
      <c r="U1089" s="17">
        <f t="shared" si="83"/>
        <v>148.32</v>
      </c>
      <c r="V1089" s="12" t="s">
        <v>59</v>
      </c>
      <c r="W1089" s="12">
        <v>139</v>
      </c>
    </row>
    <row r="1090" spans="4:23" s="12" customFormat="1" ht="30.75" customHeight="1" thickTop="1" thickBot="1" x14ac:dyDescent="0.35">
      <c r="D1090" s="10"/>
      <c r="G1090" s="13">
        <f t="shared" si="84"/>
        <v>1089</v>
      </c>
      <c r="H1090" s="18">
        <v>45968</v>
      </c>
      <c r="I1090" s="15" t="s">
        <v>22</v>
      </c>
      <c r="J1090" s="15">
        <v>269.25</v>
      </c>
      <c r="K1090" s="15">
        <v>1</v>
      </c>
      <c r="L1090" s="15">
        <v>253.1</v>
      </c>
      <c r="M1090" s="16">
        <f t="shared" ref="M1090:M1153" si="85">IFERROR(L1090/K1090,"")</f>
        <v>253.1</v>
      </c>
      <c r="N1090" s="15">
        <v>0</v>
      </c>
      <c r="O1090" s="16">
        <f t="shared" ref="O1090:O1153" si="86">J1090-N1090</f>
        <v>269.25</v>
      </c>
      <c r="P1090" s="15" t="s">
        <v>18</v>
      </c>
      <c r="Q1090" s="15">
        <v>0.06</v>
      </c>
      <c r="R1090" s="16">
        <f t="shared" ref="R1090:R1153" si="87">J1090*Q1090</f>
        <v>16.155000000000001</v>
      </c>
      <c r="S1090" s="15">
        <v>0</v>
      </c>
      <c r="T1090" s="15">
        <v>0</v>
      </c>
      <c r="U1090" s="17">
        <f t="shared" ref="U1090:U1153" si="88">T1090+S1090+R1090</f>
        <v>16.155000000000001</v>
      </c>
      <c r="V1090" s="12" t="s">
        <v>59</v>
      </c>
      <c r="W1090" s="12">
        <v>139</v>
      </c>
    </row>
    <row r="1091" spans="4:23" s="12" customFormat="1" ht="30.75" customHeight="1" thickTop="1" thickBot="1" x14ac:dyDescent="0.35">
      <c r="D1091" s="10"/>
      <c r="G1091" s="13">
        <f t="shared" si="84"/>
        <v>1090</v>
      </c>
      <c r="H1091" s="18">
        <v>45968</v>
      </c>
      <c r="I1091" s="15" t="s">
        <v>23</v>
      </c>
      <c r="J1091" s="15">
        <v>19200</v>
      </c>
      <c r="K1091" s="15">
        <v>100</v>
      </c>
      <c r="L1091" s="15">
        <v>18048</v>
      </c>
      <c r="M1091" s="16">
        <f t="shared" si="85"/>
        <v>180.48</v>
      </c>
      <c r="N1091" s="15">
        <v>0</v>
      </c>
      <c r="O1091" s="16">
        <f t="shared" si="86"/>
        <v>19200</v>
      </c>
      <c r="P1091" s="15" t="s">
        <v>18</v>
      </c>
      <c r="Q1091" s="15">
        <v>0.06</v>
      </c>
      <c r="R1091" s="16">
        <f t="shared" si="87"/>
        <v>1152</v>
      </c>
      <c r="S1091" s="15">
        <v>0</v>
      </c>
      <c r="T1091" s="15">
        <v>0</v>
      </c>
      <c r="U1091" s="17">
        <f t="shared" si="88"/>
        <v>1152</v>
      </c>
      <c r="V1091" s="12" t="s">
        <v>59</v>
      </c>
      <c r="W1091" s="12">
        <v>139</v>
      </c>
    </row>
    <row r="1092" spans="4:23" s="12" customFormat="1" ht="30.75" customHeight="1" thickTop="1" thickBot="1" x14ac:dyDescent="0.35">
      <c r="D1092" s="10"/>
      <c r="G1092" s="13">
        <f t="shared" ref="G1092:G1155" si="89">G1091+1</f>
        <v>1091</v>
      </c>
      <c r="H1092" s="18">
        <v>45968</v>
      </c>
      <c r="I1092" s="15" t="s">
        <v>24</v>
      </c>
      <c r="J1092" s="15">
        <v>8126</v>
      </c>
      <c r="K1092" s="15">
        <v>25</v>
      </c>
      <c r="L1092" s="15">
        <v>7638.44</v>
      </c>
      <c r="M1092" s="16">
        <f t="shared" si="85"/>
        <v>305.5376</v>
      </c>
      <c r="N1092" s="15">
        <v>0</v>
      </c>
      <c r="O1092" s="16">
        <f t="shared" si="86"/>
        <v>8126</v>
      </c>
      <c r="P1092" s="15" t="s">
        <v>18</v>
      </c>
      <c r="Q1092" s="15">
        <v>0.06</v>
      </c>
      <c r="R1092" s="16">
        <f t="shared" si="87"/>
        <v>487.56</v>
      </c>
      <c r="S1092" s="15">
        <v>0</v>
      </c>
      <c r="T1092" s="15">
        <v>0</v>
      </c>
      <c r="U1092" s="17">
        <f t="shared" si="88"/>
        <v>487.56</v>
      </c>
      <c r="V1092" s="12" t="s">
        <v>59</v>
      </c>
      <c r="W1092" s="12">
        <v>139</v>
      </c>
    </row>
    <row r="1093" spans="4:23" s="12" customFormat="1" ht="30.75" customHeight="1" thickTop="1" thickBot="1" x14ac:dyDescent="0.35">
      <c r="D1093" s="10"/>
      <c r="G1093" s="13">
        <f t="shared" si="89"/>
        <v>1092</v>
      </c>
      <c r="H1093" s="18">
        <v>45968</v>
      </c>
      <c r="I1093" s="15" t="s">
        <v>31</v>
      </c>
      <c r="J1093" s="15">
        <v>4800</v>
      </c>
      <c r="K1093" s="15">
        <v>25</v>
      </c>
      <c r="L1093" s="15">
        <v>4512</v>
      </c>
      <c r="M1093" s="16">
        <f t="shared" si="85"/>
        <v>180.48</v>
      </c>
      <c r="N1093" s="15">
        <v>0</v>
      </c>
      <c r="O1093" s="16">
        <f t="shared" si="86"/>
        <v>4800</v>
      </c>
      <c r="P1093" s="15" t="s">
        <v>18</v>
      </c>
      <c r="Q1093" s="15">
        <v>0.06</v>
      </c>
      <c r="R1093" s="16">
        <f t="shared" si="87"/>
        <v>288</v>
      </c>
      <c r="S1093" s="15">
        <v>0</v>
      </c>
      <c r="T1093" s="15">
        <v>0</v>
      </c>
      <c r="U1093" s="17">
        <f t="shared" si="88"/>
        <v>288</v>
      </c>
      <c r="V1093" s="12" t="s">
        <v>59</v>
      </c>
      <c r="W1093" s="12">
        <v>139</v>
      </c>
    </row>
    <row r="1094" spans="4:23" s="12" customFormat="1" ht="30.75" customHeight="1" thickTop="1" thickBot="1" x14ac:dyDescent="0.35">
      <c r="D1094" s="10"/>
      <c r="G1094" s="13">
        <f t="shared" si="89"/>
        <v>1093</v>
      </c>
      <c r="H1094" s="18">
        <v>45968</v>
      </c>
      <c r="I1094" s="15" t="s">
        <v>36</v>
      </c>
      <c r="J1094" s="15">
        <v>650.08000000000004</v>
      </c>
      <c r="K1094" s="15">
        <v>2</v>
      </c>
      <c r="L1094" s="15">
        <v>611.08000000000004</v>
      </c>
      <c r="M1094" s="16">
        <f t="shared" si="85"/>
        <v>305.54000000000002</v>
      </c>
      <c r="N1094" s="15">
        <v>0</v>
      </c>
      <c r="O1094" s="16">
        <f t="shared" si="86"/>
        <v>650.08000000000004</v>
      </c>
      <c r="P1094" s="15" t="s">
        <v>18</v>
      </c>
      <c r="Q1094" s="15">
        <v>0.06</v>
      </c>
      <c r="R1094" s="16">
        <f t="shared" si="87"/>
        <v>39.004800000000003</v>
      </c>
      <c r="S1094" s="15">
        <v>0</v>
      </c>
      <c r="T1094" s="15">
        <v>0</v>
      </c>
      <c r="U1094" s="17">
        <f t="shared" si="88"/>
        <v>39.004800000000003</v>
      </c>
      <c r="V1094" s="12" t="s">
        <v>59</v>
      </c>
      <c r="W1094" s="12">
        <v>139</v>
      </c>
    </row>
    <row r="1095" spans="4:23" s="12" customFormat="1" ht="30.75" customHeight="1" thickTop="1" thickBot="1" x14ac:dyDescent="0.35">
      <c r="D1095" s="10"/>
      <c r="G1095" s="13">
        <f t="shared" si="89"/>
        <v>1094</v>
      </c>
      <c r="H1095" s="18">
        <v>45970</v>
      </c>
      <c r="I1095" s="15" t="s">
        <v>30</v>
      </c>
      <c r="J1095" s="15">
        <v>101392.5</v>
      </c>
      <c r="K1095" s="15">
        <v>330</v>
      </c>
      <c r="L1095" s="15">
        <v>69859.429999999993</v>
      </c>
      <c r="M1095" s="16">
        <f t="shared" si="85"/>
        <v>211.69524242424239</v>
      </c>
      <c r="N1095" s="15">
        <v>0</v>
      </c>
      <c r="O1095" s="16">
        <f t="shared" si="86"/>
        <v>101392.5</v>
      </c>
      <c r="P1095" s="15" t="s">
        <v>18</v>
      </c>
      <c r="Q1095" s="15">
        <v>0.06</v>
      </c>
      <c r="R1095" s="16">
        <f t="shared" si="87"/>
        <v>6083.55</v>
      </c>
      <c r="S1095" s="15">
        <v>0</v>
      </c>
      <c r="T1095" s="15">
        <v>0</v>
      </c>
      <c r="U1095" s="17">
        <f t="shared" si="88"/>
        <v>6083.55</v>
      </c>
      <c r="V1095" s="12" t="s">
        <v>59</v>
      </c>
      <c r="W1095" s="12">
        <v>140</v>
      </c>
    </row>
    <row r="1096" spans="4:23" s="12" customFormat="1" ht="30.75" customHeight="1" thickTop="1" thickBot="1" x14ac:dyDescent="0.35">
      <c r="D1096" s="10"/>
      <c r="G1096" s="13">
        <f t="shared" si="89"/>
        <v>1095</v>
      </c>
      <c r="H1096" s="18">
        <v>45970</v>
      </c>
      <c r="I1096" s="15" t="s">
        <v>17</v>
      </c>
      <c r="J1096" s="15">
        <v>168987.5</v>
      </c>
      <c r="K1096" s="15">
        <v>550</v>
      </c>
      <c r="L1096" s="15">
        <v>116432.39</v>
      </c>
      <c r="M1096" s="16">
        <f t="shared" si="85"/>
        <v>211.69525454545453</v>
      </c>
      <c r="N1096" s="15">
        <v>0</v>
      </c>
      <c r="O1096" s="16">
        <f t="shared" si="86"/>
        <v>168987.5</v>
      </c>
      <c r="P1096" s="15" t="s">
        <v>18</v>
      </c>
      <c r="Q1096" s="15">
        <v>0.06</v>
      </c>
      <c r="R1096" s="16">
        <f t="shared" si="87"/>
        <v>10139.25</v>
      </c>
      <c r="S1096" s="15">
        <v>0</v>
      </c>
      <c r="T1096" s="15">
        <v>0</v>
      </c>
      <c r="U1096" s="17">
        <f t="shared" si="88"/>
        <v>10139.25</v>
      </c>
      <c r="V1096" s="12" t="s">
        <v>59</v>
      </c>
      <c r="W1096" s="12">
        <v>140</v>
      </c>
    </row>
    <row r="1097" spans="4:23" s="12" customFormat="1" ht="30.75" customHeight="1" thickTop="1" thickBot="1" x14ac:dyDescent="0.35">
      <c r="D1097" s="10"/>
      <c r="G1097" s="13">
        <f t="shared" si="89"/>
        <v>1096</v>
      </c>
      <c r="H1097" s="18">
        <v>45970</v>
      </c>
      <c r="I1097" s="36" t="s">
        <v>20</v>
      </c>
      <c r="J1097" s="15">
        <v>624</v>
      </c>
      <c r="K1097" s="15">
        <v>2</v>
      </c>
      <c r="L1097" s="15">
        <v>586.55999999999995</v>
      </c>
      <c r="M1097" s="16">
        <f t="shared" si="85"/>
        <v>293.27999999999997</v>
      </c>
      <c r="N1097" s="15">
        <v>0</v>
      </c>
      <c r="O1097" s="16">
        <f t="shared" si="86"/>
        <v>624</v>
      </c>
      <c r="P1097" s="15" t="s">
        <v>18</v>
      </c>
      <c r="Q1097" s="15">
        <v>0.06</v>
      </c>
      <c r="R1097" s="16">
        <f t="shared" si="87"/>
        <v>37.44</v>
      </c>
      <c r="S1097" s="15">
        <v>0</v>
      </c>
      <c r="T1097" s="15">
        <v>0</v>
      </c>
      <c r="U1097" s="17">
        <f t="shared" si="88"/>
        <v>37.44</v>
      </c>
      <c r="V1097" s="12" t="s">
        <v>59</v>
      </c>
      <c r="W1097" s="12">
        <v>140</v>
      </c>
    </row>
    <row r="1098" spans="4:23" s="12" customFormat="1" ht="30.75" customHeight="1" thickTop="1" thickBot="1" x14ac:dyDescent="0.35">
      <c r="D1098" s="10"/>
      <c r="G1098" s="13">
        <f t="shared" si="89"/>
        <v>1097</v>
      </c>
      <c r="H1098" s="18">
        <v>45970</v>
      </c>
      <c r="I1098" s="15" t="s">
        <v>21</v>
      </c>
      <c r="J1098" s="15">
        <v>2472</v>
      </c>
      <c r="K1098" s="15">
        <v>10</v>
      </c>
      <c r="L1098" s="15">
        <v>2323.6799999999998</v>
      </c>
      <c r="M1098" s="16">
        <f t="shared" si="85"/>
        <v>232.36799999999999</v>
      </c>
      <c r="N1098" s="15">
        <v>0</v>
      </c>
      <c r="O1098" s="16">
        <f t="shared" si="86"/>
        <v>2472</v>
      </c>
      <c r="P1098" s="15" t="s">
        <v>18</v>
      </c>
      <c r="Q1098" s="15">
        <v>0.06</v>
      </c>
      <c r="R1098" s="16">
        <f t="shared" si="87"/>
        <v>148.32</v>
      </c>
      <c r="S1098" s="15">
        <v>0</v>
      </c>
      <c r="T1098" s="15">
        <v>0</v>
      </c>
      <c r="U1098" s="17">
        <f t="shared" si="88"/>
        <v>148.32</v>
      </c>
      <c r="V1098" s="12" t="s">
        <v>59</v>
      </c>
      <c r="W1098" s="12">
        <v>140</v>
      </c>
    </row>
    <row r="1099" spans="4:23" s="12" customFormat="1" ht="30.75" customHeight="1" thickTop="1" thickBot="1" x14ac:dyDescent="0.35">
      <c r="D1099" s="10"/>
      <c r="G1099" s="13">
        <f t="shared" si="89"/>
        <v>1098</v>
      </c>
      <c r="H1099" s="18">
        <v>45970</v>
      </c>
      <c r="I1099" s="15" t="s">
        <v>23</v>
      </c>
      <c r="J1099" s="15">
        <v>28800</v>
      </c>
      <c r="K1099" s="15">
        <v>150</v>
      </c>
      <c r="L1099" s="15">
        <v>27072</v>
      </c>
      <c r="M1099" s="16">
        <f t="shared" si="85"/>
        <v>180.48</v>
      </c>
      <c r="N1099" s="15">
        <v>0</v>
      </c>
      <c r="O1099" s="16">
        <f t="shared" si="86"/>
        <v>28800</v>
      </c>
      <c r="P1099" s="15" t="s">
        <v>18</v>
      </c>
      <c r="Q1099" s="15">
        <v>0.06</v>
      </c>
      <c r="R1099" s="16">
        <f t="shared" si="87"/>
        <v>1728</v>
      </c>
      <c r="S1099" s="15">
        <v>0</v>
      </c>
      <c r="T1099" s="15">
        <v>0</v>
      </c>
      <c r="U1099" s="17">
        <f t="shared" si="88"/>
        <v>1728</v>
      </c>
      <c r="V1099" s="12" t="s">
        <v>59</v>
      </c>
      <c r="W1099" s="12">
        <v>140</v>
      </c>
    </row>
    <row r="1100" spans="4:23" s="12" customFormat="1" ht="30.75" customHeight="1" thickTop="1" thickBot="1" x14ac:dyDescent="0.35">
      <c r="D1100" s="10"/>
      <c r="G1100" s="13">
        <f t="shared" si="89"/>
        <v>1099</v>
      </c>
      <c r="H1100" s="18">
        <v>45970</v>
      </c>
      <c r="I1100" s="15" t="s">
        <v>24</v>
      </c>
      <c r="J1100" s="15">
        <v>8126</v>
      </c>
      <c r="K1100" s="15">
        <v>25</v>
      </c>
      <c r="L1100" s="15">
        <v>7638.44</v>
      </c>
      <c r="M1100" s="16">
        <f t="shared" si="85"/>
        <v>305.5376</v>
      </c>
      <c r="N1100" s="15">
        <v>0</v>
      </c>
      <c r="O1100" s="16">
        <f t="shared" si="86"/>
        <v>8126</v>
      </c>
      <c r="P1100" s="15" t="s">
        <v>18</v>
      </c>
      <c r="Q1100" s="15">
        <v>0.06</v>
      </c>
      <c r="R1100" s="16">
        <f t="shared" si="87"/>
        <v>487.56</v>
      </c>
      <c r="S1100" s="15">
        <v>0</v>
      </c>
      <c r="T1100" s="15">
        <v>0</v>
      </c>
      <c r="U1100" s="17">
        <f t="shared" si="88"/>
        <v>487.56</v>
      </c>
      <c r="V1100" s="12" t="s">
        <v>59</v>
      </c>
      <c r="W1100" s="12">
        <v>140</v>
      </c>
    </row>
    <row r="1101" spans="4:23" s="12" customFormat="1" ht="30.75" customHeight="1" thickTop="1" thickBot="1" x14ac:dyDescent="0.35">
      <c r="D1101" s="10"/>
      <c r="G1101" s="13">
        <f t="shared" si="89"/>
        <v>1100</v>
      </c>
      <c r="H1101" s="18">
        <v>45970</v>
      </c>
      <c r="I1101" s="15" t="s">
        <v>31</v>
      </c>
      <c r="J1101" s="15">
        <v>5760</v>
      </c>
      <c r="K1101" s="15">
        <v>30</v>
      </c>
      <c r="L1101" s="15">
        <v>5414.4</v>
      </c>
      <c r="M1101" s="16">
        <f t="shared" si="85"/>
        <v>180.48</v>
      </c>
      <c r="N1101" s="15">
        <v>0</v>
      </c>
      <c r="O1101" s="16">
        <f t="shared" si="86"/>
        <v>5760</v>
      </c>
      <c r="P1101" s="15" t="s">
        <v>18</v>
      </c>
      <c r="Q1101" s="15">
        <v>0.06</v>
      </c>
      <c r="R1101" s="16">
        <f t="shared" si="87"/>
        <v>345.59999999999997</v>
      </c>
      <c r="S1101" s="15">
        <v>0</v>
      </c>
      <c r="T1101" s="15">
        <v>0</v>
      </c>
      <c r="U1101" s="17">
        <f t="shared" si="88"/>
        <v>345.59999999999997</v>
      </c>
      <c r="V1101" s="12" t="s">
        <v>59</v>
      </c>
      <c r="W1101" s="12">
        <v>140</v>
      </c>
    </row>
    <row r="1102" spans="4:23" s="12" customFormat="1" ht="30.75" customHeight="1" thickTop="1" thickBot="1" x14ac:dyDescent="0.35">
      <c r="D1102" s="10"/>
      <c r="G1102" s="13">
        <f t="shared" si="89"/>
        <v>1101</v>
      </c>
      <c r="H1102" s="18">
        <v>45970</v>
      </c>
      <c r="I1102" s="15" t="s">
        <v>36</v>
      </c>
      <c r="J1102" s="15">
        <v>650.08000000000004</v>
      </c>
      <c r="K1102" s="15">
        <v>2</v>
      </c>
      <c r="L1102" s="15">
        <v>611.08000000000004</v>
      </c>
      <c r="M1102" s="16">
        <f t="shared" si="85"/>
        <v>305.54000000000002</v>
      </c>
      <c r="N1102" s="15">
        <v>0</v>
      </c>
      <c r="O1102" s="16">
        <f t="shared" si="86"/>
        <v>650.08000000000004</v>
      </c>
      <c r="P1102" s="15" t="s">
        <v>18</v>
      </c>
      <c r="Q1102" s="15">
        <v>0.06</v>
      </c>
      <c r="R1102" s="16">
        <f t="shared" si="87"/>
        <v>39.004800000000003</v>
      </c>
      <c r="S1102" s="15">
        <v>0</v>
      </c>
      <c r="T1102" s="15">
        <v>0</v>
      </c>
      <c r="U1102" s="17">
        <f t="shared" si="88"/>
        <v>39.004800000000003</v>
      </c>
      <c r="V1102" s="12" t="s">
        <v>59</v>
      </c>
      <c r="W1102" s="12">
        <v>140</v>
      </c>
    </row>
    <row r="1103" spans="4:23" s="12" customFormat="1" ht="30.75" customHeight="1" thickTop="1" thickBot="1" x14ac:dyDescent="0.35">
      <c r="D1103" s="10"/>
      <c r="G1103" s="13">
        <f t="shared" si="89"/>
        <v>1102</v>
      </c>
      <c r="H1103" s="18">
        <v>45970</v>
      </c>
      <c r="I1103" s="15" t="s">
        <v>37</v>
      </c>
      <c r="J1103" s="15">
        <v>80272.5</v>
      </c>
      <c r="K1103" s="15">
        <v>150</v>
      </c>
      <c r="L1103" s="15">
        <v>78667.05</v>
      </c>
      <c r="M1103" s="16">
        <f t="shared" si="85"/>
        <v>524.447</v>
      </c>
      <c r="N1103" s="15">
        <v>0</v>
      </c>
      <c r="O1103" s="16">
        <f t="shared" si="86"/>
        <v>80272.5</v>
      </c>
      <c r="P1103" s="15" t="s">
        <v>29</v>
      </c>
      <c r="Q1103" s="15">
        <v>0.02</v>
      </c>
      <c r="R1103" s="16">
        <f t="shared" si="87"/>
        <v>1605.45</v>
      </c>
      <c r="S1103" s="15">
        <v>0</v>
      </c>
      <c r="T1103" s="15">
        <v>0</v>
      </c>
      <c r="U1103" s="17">
        <f t="shared" si="88"/>
        <v>1605.45</v>
      </c>
      <c r="V1103" s="12" t="s">
        <v>59</v>
      </c>
      <c r="W1103" s="12">
        <v>140</v>
      </c>
    </row>
    <row r="1104" spans="4:23" s="12" customFormat="1" ht="30.75" customHeight="1" thickTop="1" thickBot="1" x14ac:dyDescent="0.35">
      <c r="D1104" s="10"/>
      <c r="G1104" s="13">
        <f t="shared" si="89"/>
        <v>1103</v>
      </c>
      <c r="H1104" s="18">
        <v>45973</v>
      </c>
      <c r="I1104" s="15" t="s">
        <v>30</v>
      </c>
      <c r="J1104" s="15">
        <v>61450</v>
      </c>
      <c r="K1104" s="15">
        <v>200</v>
      </c>
      <c r="L1104" s="15">
        <v>42339.05</v>
      </c>
      <c r="M1104" s="16">
        <f t="shared" si="85"/>
        <v>211.69525000000002</v>
      </c>
      <c r="N1104" s="15">
        <v>0</v>
      </c>
      <c r="O1104" s="16">
        <f t="shared" si="86"/>
        <v>61450</v>
      </c>
      <c r="P1104" s="15" t="s">
        <v>18</v>
      </c>
      <c r="Q1104" s="15">
        <v>0.06</v>
      </c>
      <c r="R1104" s="16">
        <f t="shared" si="87"/>
        <v>3687</v>
      </c>
      <c r="S1104" s="15">
        <v>0</v>
      </c>
      <c r="T1104" s="15">
        <v>0</v>
      </c>
      <c r="U1104" s="17">
        <f t="shared" si="88"/>
        <v>3687</v>
      </c>
      <c r="V1104" s="12" t="s">
        <v>59</v>
      </c>
      <c r="W1104" s="12">
        <v>141</v>
      </c>
    </row>
    <row r="1105" spans="4:23" s="12" customFormat="1" ht="30.75" customHeight="1" thickTop="1" thickBot="1" x14ac:dyDescent="0.35">
      <c r="D1105" s="10"/>
      <c r="G1105" s="13">
        <f t="shared" si="89"/>
        <v>1104</v>
      </c>
      <c r="H1105" s="18">
        <v>45973</v>
      </c>
      <c r="I1105" s="15" t="s">
        <v>17</v>
      </c>
      <c r="J1105" s="15">
        <v>92175</v>
      </c>
      <c r="K1105" s="15">
        <v>300</v>
      </c>
      <c r="L1105" s="15">
        <v>63508.58</v>
      </c>
      <c r="M1105" s="16">
        <f t="shared" si="85"/>
        <v>211.69526666666667</v>
      </c>
      <c r="N1105" s="15">
        <v>0</v>
      </c>
      <c r="O1105" s="16">
        <f t="shared" si="86"/>
        <v>92175</v>
      </c>
      <c r="P1105" s="15" t="s">
        <v>18</v>
      </c>
      <c r="Q1105" s="15">
        <v>0.06</v>
      </c>
      <c r="R1105" s="16">
        <f t="shared" si="87"/>
        <v>5530.5</v>
      </c>
      <c r="S1105" s="15">
        <v>0</v>
      </c>
      <c r="T1105" s="15">
        <v>0</v>
      </c>
      <c r="U1105" s="17">
        <f t="shared" si="88"/>
        <v>5530.5</v>
      </c>
      <c r="V1105" s="12" t="s">
        <v>59</v>
      </c>
      <c r="W1105" s="12">
        <v>141</v>
      </c>
    </row>
    <row r="1106" spans="4:23" s="12" customFormat="1" ht="30.75" customHeight="1" thickTop="1" thickBot="1" x14ac:dyDescent="0.35">
      <c r="D1106" s="10"/>
      <c r="G1106" s="13">
        <f t="shared" si="89"/>
        <v>1105</v>
      </c>
      <c r="H1106" s="18">
        <v>45973</v>
      </c>
      <c r="I1106" s="36" t="s">
        <v>20</v>
      </c>
      <c r="J1106" s="15">
        <v>624</v>
      </c>
      <c r="K1106" s="15">
        <v>2</v>
      </c>
      <c r="L1106" s="15">
        <v>586.55999999999995</v>
      </c>
      <c r="M1106" s="16">
        <f t="shared" si="85"/>
        <v>293.27999999999997</v>
      </c>
      <c r="N1106" s="15">
        <v>0</v>
      </c>
      <c r="O1106" s="16">
        <f t="shared" si="86"/>
        <v>624</v>
      </c>
      <c r="P1106" s="15" t="s">
        <v>18</v>
      </c>
      <c r="Q1106" s="15">
        <v>0.06</v>
      </c>
      <c r="R1106" s="16">
        <f t="shared" si="87"/>
        <v>37.44</v>
      </c>
      <c r="S1106" s="15">
        <v>0</v>
      </c>
      <c r="T1106" s="15">
        <v>0</v>
      </c>
      <c r="U1106" s="17">
        <f t="shared" si="88"/>
        <v>37.44</v>
      </c>
      <c r="V1106" s="12" t="s">
        <v>59</v>
      </c>
      <c r="W1106" s="12">
        <v>141</v>
      </c>
    </row>
    <row r="1107" spans="4:23" s="12" customFormat="1" ht="30.75" customHeight="1" thickTop="1" thickBot="1" x14ac:dyDescent="0.35">
      <c r="D1107" s="10"/>
      <c r="G1107" s="13">
        <f t="shared" si="89"/>
        <v>1106</v>
      </c>
      <c r="H1107" s="18">
        <v>45973</v>
      </c>
      <c r="I1107" s="15" t="s">
        <v>21</v>
      </c>
      <c r="J1107" s="15">
        <v>1977.6</v>
      </c>
      <c r="K1107" s="15">
        <v>8</v>
      </c>
      <c r="L1107" s="15">
        <v>1858.94</v>
      </c>
      <c r="M1107" s="16">
        <f t="shared" si="85"/>
        <v>232.36750000000001</v>
      </c>
      <c r="N1107" s="15">
        <v>0</v>
      </c>
      <c r="O1107" s="16">
        <f t="shared" si="86"/>
        <v>1977.6</v>
      </c>
      <c r="P1107" s="15" t="s">
        <v>18</v>
      </c>
      <c r="Q1107" s="15">
        <v>0.06</v>
      </c>
      <c r="R1107" s="16">
        <f t="shared" si="87"/>
        <v>118.65599999999999</v>
      </c>
      <c r="S1107" s="15">
        <v>0</v>
      </c>
      <c r="T1107" s="15">
        <v>0</v>
      </c>
      <c r="U1107" s="17">
        <f t="shared" si="88"/>
        <v>118.65599999999999</v>
      </c>
      <c r="V1107" s="12" t="s">
        <v>59</v>
      </c>
      <c r="W1107" s="12">
        <v>141</v>
      </c>
    </row>
    <row r="1108" spans="4:23" s="12" customFormat="1" ht="30.75" customHeight="1" thickTop="1" thickBot="1" x14ac:dyDescent="0.35">
      <c r="D1108" s="10"/>
      <c r="G1108" s="13">
        <f t="shared" si="89"/>
        <v>1107</v>
      </c>
      <c r="H1108" s="18">
        <v>45973</v>
      </c>
      <c r="I1108" s="15" t="s">
        <v>23</v>
      </c>
      <c r="J1108" s="15">
        <v>38400</v>
      </c>
      <c r="K1108" s="15">
        <v>200</v>
      </c>
      <c r="L1108" s="15">
        <v>36096</v>
      </c>
      <c r="M1108" s="16">
        <f t="shared" si="85"/>
        <v>180.48</v>
      </c>
      <c r="N1108" s="15">
        <v>0</v>
      </c>
      <c r="O1108" s="16">
        <f t="shared" si="86"/>
        <v>38400</v>
      </c>
      <c r="P1108" s="15" t="s">
        <v>18</v>
      </c>
      <c r="Q1108" s="15">
        <v>0.06</v>
      </c>
      <c r="R1108" s="16">
        <f t="shared" si="87"/>
        <v>2304</v>
      </c>
      <c r="S1108" s="15">
        <v>0</v>
      </c>
      <c r="T1108" s="15">
        <v>0</v>
      </c>
      <c r="U1108" s="17">
        <f t="shared" si="88"/>
        <v>2304</v>
      </c>
      <c r="V1108" s="12" t="s">
        <v>59</v>
      </c>
      <c r="W1108" s="12">
        <v>141</v>
      </c>
    </row>
    <row r="1109" spans="4:23" s="12" customFormat="1" ht="30.75" customHeight="1" thickTop="1" thickBot="1" x14ac:dyDescent="0.35">
      <c r="D1109" s="10"/>
      <c r="G1109" s="13">
        <f t="shared" si="89"/>
        <v>1108</v>
      </c>
      <c r="H1109" s="18">
        <v>45973</v>
      </c>
      <c r="I1109" s="15" t="s">
        <v>24</v>
      </c>
      <c r="J1109" s="15">
        <v>3250.4</v>
      </c>
      <c r="K1109" s="15">
        <v>10</v>
      </c>
      <c r="L1109" s="15">
        <v>3055.38</v>
      </c>
      <c r="M1109" s="16">
        <f t="shared" si="85"/>
        <v>305.53800000000001</v>
      </c>
      <c r="N1109" s="15">
        <v>0</v>
      </c>
      <c r="O1109" s="16">
        <f t="shared" si="86"/>
        <v>3250.4</v>
      </c>
      <c r="P1109" s="15" t="s">
        <v>18</v>
      </c>
      <c r="Q1109" s="15">
        <v>0.06</v>
      </c>
      <c r="R1109" s="16">
        <f t="shared" si="87"/>
        <v>195.024</v>
      </c>
      <c r="S1109" s="15">
        <v>0</v>
      </c>
      <c r="T1109" s="15">
        <v>0</v>
      </c>
      <c r="U1109" s="17">
        <f t="shared" si="88"/>
        <v>195.024</v>
      </c>
      <c r="V1109" s="12" t="s">
        <v>59</v>
      </c>
      <c r="W1109" s="12">
        <v>141</v>
      </c>
    </row>
    <row r="1110" spans="4:23" s="12" customFormat="1" ht="30.75" customHeight="1" thickTop="1" thickBot="1" x14ac:dyDescent="0.35">
      <c r="D1110" s="10"/>
      <c r="G1110" s="13">
        <f t="shared" si="89"/>
        <v>1109</v>
      </c>
      <c r="H1110" s="18">
        <v>45973</v>
      </c>
      <c r="I1110" s="15" t="s">
        <v>31</v>
      </c>
      <c r="J1110" s="15">
        <v>4800.08</v>
      </c>
      <c r="K1110" s="15">
        <v>25</v>
      </c>
      <c r="L1110" s="15">
        <v>4512</v>
      </c>
      <c r="M1110" s="16">
        <f t="shared" si="85"/>
        <v>180.48</v>
      </c>
      <c r="N1110" s="15">
        <v>0</v>
      </c>
      <c r="O1110" s="16">
        <f t="shared" si="86"/>
        <v>4800.08</v>
      </c>
      <c r="P1110" s="15" t="s">
        <v>18</v>
      </c>
      <c r="Q1110" s="15">
        <v>0.06</v>
      </c>
      <c r="R1110" s="16">
        <f t="shared" si="87"/>
        <v>288.00479999999999</v>
      </c>
      <c r="S1110" s="15">
        <v>0</v>
      </c>
      <c r="T1110" s="15">
        <v>0</v>
      </c>
      <c r="U1110" s="17">
        <f t="shared" si="88"/>
        <v>288.00479999999999</v>
      </c>
      <c r="V1110" s="12" t="s">
        <v>59</v>
      </c>
      <c r="W1110" s="12">
        <v>141</v>
      </c>
    </row>
    <row r="1111" spans="4:23" s="12" customFormat="1" ht="30.75" customHeight="1" thickTop="1" thickBot="1" x14ac:dyDescent="0.35">
      <c r="D1111" s="10"/>
      <c r="G1111" s="13">
        <f t="shared" si="89"/>
        <v>1110</v>
      </c>
      <c r="H1111" s="18">
        <v>45976</v>
      </c>
      <c r="I1111" s="15" t="s">
        <v>36</v>
      </c>
      <c r="J1111" s="15">
        <v>650.08000000000004</v>
      </c>
      <c r="K1111" s="15">
        <v>2</v>
      </c>
      <c r="L1111" s="15">
        <v>611.08000000000004</v>
      </c>
      <c r="M1111" s="16">
        <f t="shared" si="85"/>
        <v>305.54000000000002</v>
      </c>
      <c r="N1111" s="15">
        <v>0</v>
      </c>
      <c r="O1111" s="16">
        <f t="shared" si="86"/>
        <v>650.08000000000004</v>
      </c>
      <c r="P1111" s="15" t="s">
        <v>18</v>
      </c>
      <c r="Q1111" s="15">
        <v>0.06</v>
      </c>
      <c r="R1111" s="16">
        <f t="shared" si="87"/>
        <v>39.004800000000003</v>
      </c>
      <c r="S1111" s="15">
        <v>0</v>
      </c>
      <c r="T1111" s="15">
        <v>0</v>
      </c>
      <c r="U1111" s="17">
        <f t="shared" si="88"/>
        <v>39.004800000000003</v>
      </c>
      <c r="V1111" s="12" t="s">
        <v>59</v>
      </c>
      <c r="W1111" s="12">
        <v>141</v>
      </c>
    </row>
    <row r="1112" spans="4:23" s="12" customFormat="1" ht="30.75" customHeight="1" thickTop="1" thickBot="1" x14ac:dyDescent="0.35">
      <c r="D1112" s="10"/>
      <c r="G1112" s="13">
        <f t="shared" si="89"/>
        <v>1111</v>
      </c>
      <c r="H1112" s="18">
        <v>45976</v>
      </c>
      <c r="I1112" s="15" t="s">
        <v>32</v>
      </c>
      <c r="J1112" s="15">
        <v>5940</v>
      </c>
      <c r="K1112" s="15">
        <v>10</v>
      </c>
      <c r="L1112" s="15">
        <v>5476.68</v>
      </c>
      <c r="M1112" s="16">
        <f t="shared" si="85"/>
        <v>547.66800000000001</v>
      </c>
      <c r="N1112" s="15">
        <v>0</v>
      </c>
      <c r="O1112" s="16">
        <f t="shared" si="86"/>
        <v>5940</v>
      </c>
      <c r="P1112" s="15" t="s">
        <v>33</v>
      </c>
      <c r="Q1112" s="15">
        <v>0.01</v>
      </c>
      <c r="R1112" s="16">
        <f t="shared" si="87"/>
        <v>59.4</v>
      </c>
      <c r="S1112" s="15">
        <v>0</v>
      </c>
      <c r="T1112" s="15">
        <v>0</v>
      </c>
      <c r="U1112" s="17">
        <f t="shared" si="88"/>
        <v>59.4</v>
      </c>
      <c r="V1112" s="12" t="s">
        <v>59</v>
      </c>
      <c r="W1112" s="12">
        <v>142</v>
      </c>
    </row>
    <row r="1113" spans="4:23" s="12" customFormat="1" ht="30.75" customHeight="1" thickTop="1" thickBot="1" x14ac:dyDescent="0.35">
      <c r="D1113" s="10"/>
      <c r="G1113" s="13">
        <f t="shared" si="89"/>
        <v>1112</v>
      </c>
      <c r="H1113" s="18">
        <v>45976</v>
      </c>
      <c r="I1113" s="15" t="s">
        <v>60</v>
      </c>
      <c r="J1113" s="15">
        <v>1144</v>
      </c>
      <c r="K1113" s="15">
        <v>2</v>
      </c>
      <c r="L1113" s="15">
        <v>1055.45</v>
      </c>
      <c r="M1113" s="16">
        <f t="shared" si="85"/>
        <v>527.72500000000002</v>
      </c>
      <c r="N1113" s="15">
        <v>0</v>
      </c>
      <c r="O1113" s="16">
        <f t="shared" si="86"/>
        <v>1144</v>
      </c>
      <c r="P1113" s="15" t="s">
        <v>33</v>
      </c>
      <c r="Q1113" s="15">
        <v>0.01</v>
      </c>
      <c r="R1113" s="16">
        <f t="shared" si="87"/>
        <v>11.44</v>
      </c>
      <c r="S1113" s="15">
        <v>0</v>
      </c>
      <c r="T1113" s="15">
        <v>0</v>
      </c>
      <c r="U1113" s="17">
        <f t="shared" si="88"/>
        <v>11.44</v>
      </c>
      <c r="V1113" s="12" t="s">
        <v>59</v>
      </c>
      <c r="W1113" s="12">
        <v>142</v>
      </c>
    </row>
    <row r="1114" spans="4:23" s="12" customFormat="1" ht="30.75" customHeight="1" thickTop="1" thickBot="1" x14ac:dyDescent="0.35">
      <c r="D1114" s="10"/>
      <c r="G1114" s="13">
        <f t="shared" si="89"/>
        <v>1113</v>
      </c>
      <c r="H1114" s="18">
        <v>45976</v>
      </c>
      <c r="I1114" s="15" t="s">
        <v>30</v>
      </c>
      <c r="J1114" s="15">
        <v>61450</v>
      </c>
      <c r="K1114" s="15">
        <v>200</v>
      </c>
      <c r="L1114" s="15">
        <v>42339.05</v>
      </c>
      <c r="M1114" s="16">
        <f t="shared" si="85"/>
        <v>211.69525000000002</v>
      </c>
      <c r="N1114" s="15">
        <v>0</v>
      </c>
      <c r="O1114" s="16">
        <f t="shared" si="86"/>
        <v>61450</v>
      </c>
      <c r="P1114" s="15" t="s">
        <v>18</v>
      </c>
      <c r="Q1114" s="15">
        <v>0.06</v>
      </c>
      <c r="R1114" s="16">
        <f t="shared" si="87"/>
        <v>3687</v>
      </c>
      <c r="S1114" s="15">
        <v>0</v>
      </c>
      <c r="T1114" s="15">
        <v>0</v>
      </c>
      <c r="U1114" s="17">
        <f t="shared" si="88"/>
        <v>3687</v>
      </c>
      <c r="V1114" s="12" t="s">
        <v>59</v>
      </c>
      <c r="W1114" s="12">
        <v>142</v>
      </c>
    </row>
    <row r="1115" spans="4:23" s="12" customFormat="1" ht="30.75" customHeight="1" thickTop="1" thickBot="1" x14ac:dyDescent="0.35">
      <c r="D1115" s="10"/>
      <c r="G1115" s="13">
        <f t="shared" si="89"/>
        <v>1114</v>
      </c>
      <c r="H1115" s="18">
        <v>45976</v>
      </c>
      <c r="I1115" s="36" t="s">
        <v>20</v>
      </c>
      <c r="J1115" s="15">
        <v>624</v>
      </c>
      <c r="K1115" s="15">
        <v>2</v>
      </c>
      <c r="L1115" s="15">
        <v>586.55999999999995</v>
      </c>
      <c r="M1115" s="16">
        <f t="shared" si="85"/>
        <v>293.27999999999997</v>
      </c>
      <c r="N1115" s="15">
        <v>0</v>
      </c>
      <c r="O1115" s="16">
        <f t="shared" si="86"/>
        <v>624</v>
      </c>
      <c r="P1115" s="15" t="s">
        <v>18</v>
      </c>
      <c r="Q1115" s="15">
        <v>0.06</v>
      </c>
      <c r="R1115" s="16">
        <f t="shared" si="87"/>
        <v>37.44</v>
      </c>
      <c r="S1115" s="15">
        <v>0</v>
      </c>
      <c r="T1115" s="15">
        <v>0</v>
      </c>
      <c r="U1115" s="17">
        <f t="shared" si="88"/>
        <v>37.44</v>
      </c>
      <c r="V1115" s="12" t="s">
        <v>59</v>
      </c>
      <c r="W1115" s="12">
        <v>142</v>
      </c>
    </row>
    <row r="1116" spans="4:23" s="12" customFormat="1" ht="30.75" customHeight="1" thickTop="1" thickBot="1" x14ac:dyDescent="0.35">
      <c r="D1116" s="10"/>
      <c r="G1116" s="13">
        <f t="shared" si="89"/>
        <v>1115</v>
      </c>
      <c r="H1116" s="18">
        <v>45976</v>
      </c>
      <c r="I1116" s="15" t="s">
        <v>21</v>
      </c>
      <c r="J1116" s="15">
        <v>2472</v>
      </c>
      <c r="K1116" s="15">
        <v>10</v>
      </c>
      <c r="L1116" s="15">
        <v>2323.6799999999998</v>
      </c>
      <c r="M1116" s="16">
        <f t="shared" si="85"/>
        <v>232.36799999999999</v>
      </c>
      <c r="N1116" s="15">
        <v>0</v>
      </c>
      <c r="O1116" s="16">
        <f t="shared" si="86"/>
        <v>2472</v>
      </c>
      <c r="P1116" s="15" t="s">
        <v>18</v>
      </c>
      <c r="Q1116" s="15">
        <v>0.06</v>
      </c>
      <c r="R1116" s="16">
        <f t="shared" si="87"/>
        <v>148.32</v>
      </c>
      <c r="S1116" s="15">
        <v>0</v>
      </c>
      <c r="T1116" s="15">
        <v>0</v>
      </c>
      <c r="U1116" s="17">
        <f t="shared" si="88"/>
        <v>148.32</v>
      </c>
      <c r="V1116" s="12" t="s">
        <v>59</v>
      </c>
      <c r="W1116" s="12">
        <v>142</v>
      </c>
    </row>
    <row r="1117" spans="4:23" s="12" customFormat="1" ht="30.75" customHeight="1" thickTop="1" thickBot="1" x14ac:dyDescent="0.35">
      <c r="D1117" s="10"/>
      <c r="G1117" s="13">
        <f t="shared" si="89"/>
        <v>1116</v>
      </c>
      <c r="H1117" s="18">
        <v>45976</v>
      </c>
      <c r="I1117" s="15" t="s">
        <v>23</v>
      </c>
      <c r="J1117" s="15">
        <v>46080</v>
      </c>
      <c r="K1117" s="15">
        <v>240</v>
      </c>
      <c r="L1117" s="15">
        <v>43315.199999999997</v>
      </c>
      <c r="M1117" s="16">
        <f t="shared" si="85"/>
        <v>180.48</v>
      </c>
      <c r="N1117" s="15">
        <v>0</v>
      </c>
      <c r="O1117" s="16">
        <f t="shared" si="86"/>
        <v>46080</v>
      </c>
      <c r="P1117" s="15" t="s">
        <v>18</v>
      </c>
      <c r="Q1117" s="15">
        <v>0.06</v>
      </c>
      <c r="R1117" s="16">
        <f t="shared" si="87"/>
        <v>2764.7999999999997</v>
      </c>
      <c r="S1117" s="15">
        <v>0</v>
      </c>
      <c r="T1117" s="15">
        <v>0</v>
      </c>
      <c r="U1117" s="17">
        <f t="shared" si="88"/>
        <v>2764.7999999999997</v>
      </c>
      <c r="V1117" s="12" t="s">
        <v>59</v>
      </c>
      <c r="W1117" s="12">
        <v>142</v>
      </c>
    </row>
    <row r="1118" spans="4:23" s="12" customFormat="1" ht="30.75" customHeight="1" thickTop="1" thickBot="1" x14ac:dyDescent="0.35">
      <c r="D1118" s="10"/>
      <c r="G1118" s="13">
        <f t="shared" si="89"/>
        <v>1117</v>
      </c>
      <c r="H1118" s="18">
        <v>45976</v>
      </c>
      <c r="I1118" s="15" t="s">
        <v>24</v>
      </c>
      <c r="J1118" s="15">
        <v>6500</v>
      </c>
      <c r="K1118" s="15">
        <v>20</v>
      </c>
      <c r="L1118" s="15">
        <v>6110.75</v>
      </c>
      <c r="M1118" s="16">
        <f t="shared" si="85"/>
        <v>305.53750000000002</v>
      </c>
      <c r="N1118" s="15">
        <v>0</v>
      </c>
      <c r="O1118" s="16">
        <f t="shared" si="86"/>
        <v>6500</v>
      </c>
      <c r="P1118" s="15" t="s">
        <v>18</v>
      </c>
      <c r="Q1118" s="15">
        <v>0.06</v>
      </c>
      <c r="R1118" s="16">
        <f t="shared" si="87"/>
        <v>390</v>
      </c>
      <c r="S1118" s="15">
        <v>0</v>
      </c>
      <c r="T1118" s="15">
        <v>0</v>
      </c>
      <c r="U1118" s="17">
        <f t="shared" si="88"/>
        <v>390</v>
      </c>
      <c r="V1118" s="12" t="s">
        <v>59</v>
      </c>
      <c r="W1118" s="12">
        <v>142</v>
      </c>
    </row>
    <row r="1119" spans="4:23" s="12" customFormat="1" ht="30.75" customHeight="1" thickTop="1" thickBot="1" x14ac:dyDescent="0.35">
      <c r="D1119" s="10"/>
      <c r="G1119" s="13">
        <f t="shared" si="89"/>
        <v>1118</v>
      </c>
      <c r="H1119" s="18">
        <v>45976</v>
      </c>
      <c r="I1119" s="15" t="s">
        <v>31</v>
      </c>
      <c r="J1119" s="15">
        <v>4800</v>
      </c>
      <c r="K1119" s="15">
        <v>25</v>
      </c>
      <c r="L1119" s="15">
        <v>4512</v>
      </c>
      <c r="M1119" s="16">
        <f t="shared" si="85"/>
        <v>180.48</v>
      </c>
      <c r="N1119" s="15">
        <v>0</v>
      </c>
      <c r="O1119" s="16">
        <f t="shared" si="86"/>
        <v>4800</v>
      </c>
      <c r="P1119" s="15" t="s">
        <v>18</v>
      </c>
      <c r="Q1119" s="15">
        <v>0.06</v>
      </c>
      <c r="R1119" s="16">
        <f t="shared" si="87"/>
        <v>288</v>
      </c>
      <c r="S1119" s="15">
        <v>0</v>
      </c>
      <c r="T1119" s="15">
        <v>0</v>
      </c>
      <c r="U1119" s="17">
        <f t="shared" si="88"/>
        <v>288</v>
      </c>
      <c r="V1119" s="12" t="s">
        <v>59</v>
      </c>
      <c r="W1119" s="12">
        <v>142</v>
      </c>
    </row>
    <row r="1120" spans="4:23" s="12" customFormat="1" ht="30.75" customHeight="1" thickTop="1" thickBot="1" x14ac:dyDescent="0.35">
      <c r="D1120" s="10"/>
      <c r="G1120" s="13">
        <f t="shared" si="89"/>
        <v>1119</v>
      </c>
      <c r="H1120" s="18">
        <v>45976</v>
      </c>
      <c r="I1120" s="15" t="s">
        <v>61</v>
      </c>
      <c r="J1120" s="15">
        <v>2366</v>
      </c>
      <c r="K1120" s="15">
        <v>2</v>
      </c>
      <c r="L1120" s="15">
        <v>2342.34</v>
      </c>
      <c r="M1120" s="16">
        <f t="shared" si="85"/>
        <v>1171.17</v>
      </c>
      <c r="N1120" s="15">
        <v>0</v>
      </c>
      <c r="O1120" s="16">
        <f t="shared" si="86"/>
        <v>2366</v>
      </c>
      <c r="P1120" s="15" t="s">
        <v>29</v>
      </c>
      <c r="Q1120" s="15">
        <v>0.02</v>
      </c>
      <c r="R1120" s="16">
        <f t="shared" si="87"/>
        <v>47.32</v>
      </c>
      <c r="S1120" s="15">
        <v>0</v>
      </c>
      <c r="T1120" s="15">
        <v>0</v>
      </c>
      <c r="U1120" s="17">
        <f t="shared" si="88"/>
        <v>47.32</v>
      </c>
      <c r="V1120" s="12" t="s">
        <v>59</v>
      </c>
      <c r="W1120" s="12">
        <v>142</v>
      </c>
    </row>
    <row r="1121" spans="4:23" s="12" customFormat="1" ht="30.75" customHeight="1" thickTop="1" thickBot="1" x14ac:dyDescent="0.35">
      <c r="D1121" s="10"/>
      <c r="G1121" s="13">
        <f t="shared" si="89"/>
        <v>1120</v>
      </c>
      <c r="H1121" s="18">
        <v>45978</v>
      </c>
      <c r="I1121" s="15" t="s">
        <v>30</v>
      </c>
      <c r="J1121" s="15">
        <v>101699.75</v>
      </c>
      <c r="K1121" s="15">
        <v>331</v>
      </c>
      <c r="L1121" s="15">
        <v>70071.13</v>
      </c>
      <c r="M1121" s="16">
        <f t="shared" si="85"/>
        <v>211.69525679758308</v>
      </c>
      <c r="N1121" s="15">
        <v>0</v>
      </c>
      <c r="O1121" s="16">
        <f t="shared" si="86"/>
        <v>101699.75</v>
      </c>
      <c r="P1121" s="15" t="s">
        <v>18</v>
      </c>
      <c r="Q1121" s="15">
        <v>0.06</v>
      </c>
      <c r="R1121" s="16">
        <f t="shared" si="87"/>
        <v>6101.9849999999997</v>
      </c>
      <c r="S1121" s="15">
        <v>0</v>
      </c>
      <c r="T1121" s="15">
        <v>0</v>
      </c>
      <c r="U1121" s="17">
        <f t="shared" si="88"/>
        <v>6101.9849999999997</v>
      </c>
      <c r="V1121" s="12" t="s">
        <v>59</v>
      </c>
      <c r="W1121" s="12">
        <v>143</v>
      </c>
    </row>
    <row r="1122" spans="4:23" s="12" customFormat="1" ht="30.75" customHeight="1" thickTop="1" thickBot="1" x14ac:dyDescent="0.35">
      <c r="D1122" s="10"/>
      <c r="G1122" s="13">
        <f t="shared" si="89"/>
        <v>1121</v>
      </c>
      <c r="H1122" s="18">
        <v>45978</v>
      </c>
      <c r="I1122" s="15" t="s">
        <v>17</v>
      </c>
      <c r="J1122" s="15">
        <v>199712.5</v>
      </c>
      <c r="K1122" s="15">
        <v>650</v>
      </c>
      <c r="L1122" s="15">
        <v>137601.91</v>
      </c>
      <c r="M1122" s="16">
        <f t="shared" si="85"/>
        <v>211.69524615384617</v>
      </c>
      <c r="N1122" s="15">
        <v>0</v>
      </c>
      <c r="O1122" s="16">
        <f t="shared" si="86"/>
        <v>199712.5</v>
      </c>
      <c r="P1122" s="15" t="s">
        <v>18</v>
      </c>
      <c r="Q1122" s="15">
        <v>0.06</v>
      </c>
      <c r="R1122" s="16">
        <f t="shared" si="87"/>
        <v>11982.75</v>
      </c>
      <c r="S1122" s="15">
        <v>0</v>
      </c>
      <c r="T1122" s="15">
        <v>0</v>
      </c>
      <c r="U1122" s="17">
        <f t="shared" si="88"/>
        <v>11982.75</v>
      </c>
      <c r="V1122" s="12" t="s">
        <v>59</v>
      </c>
      <c r="W1122" s="12">
        <v>143</v>
      </c>
    </row>
    <row r="1123" spans="4:23" s="12" customFormat="1" ht="30.75" customHeight="1" thickTop="1" thickBot="1" x14ac:dyDescent="0.35">
      <c r="D1123" s="10"/>
      <c r="G1123" s="13">
        <f t="shared" si="89"/>
        <v>1122</v>
      </c>
      <c r="H1123" s="18">
        <v>45978</v>
      </c>
      <c r="I1123" s="36" t="s">
        <v>62</v>
      </c>
      <c r="J1123" s="15">
        <v>4368</v>
      </c>
      <c r="K1123" s="15">
        <v>20</v>
      </c>
      <c r="L1123" s="15">
        <v>3756.48</v>
      </c>
      <c r="M1123" s="16">
        <f t="shared" si="85"/>
        <v>187.82400000000001</v>
      </c>
      <c r="N1123" s="15">
        <v>0</v>
      </c>
      <c r="O1123" s="16">
        <f t="shared" si="86"/>
        <v>4368</v>
      </c>
      <c r="P1123" s="15" t="s">
        <v>18</v>
      </c>
      <c r="Q1123" s="15">
        <v>0.06</v>
      </c>
      <c r="R1123" s="16">
        <f t="shared" si="87"/>
        <v>262.08</v>
      </c>
      <c r="S1123" s="15">
        <v>0</v>
      </c>
      <c r="T1123" s="15">
        <v>0</v>
      </c>
      <c r="U1123" s="17">
        <f t="shared" si="88"/>
        <v>262.08</v>
      </c>
      <c r="V1123" s="12" t="s">
        <v>59</v>
      </c>
      <c r="W1123" s="12">
        <v>143</v>
      </c>
    </row>
    <row r="1124" spans="4:23" s="12" customFormat="1" ht="30.75" customHeight="1" thickTop="1" thickBot="1" x14ac:dyDescent="0.35">
      <c r="D1124" s="10"/>
      <c r="G1124" s="13">
        <f t="shared" si="89"/>
        <v>1123</v>
      </c>
      <c r="H1124" s="18">
        <v>45978</v>
      </c>
      <c r="I1124" s="36" t="s">
        <v>20</v>
      </c>
      <c r="J1124" s="15">
        <v>1560</v>
      </c>
      <c r="K1124" s="15">
        <v>5</v>
      </c>
      <c r="L1124" s="15">
        <v>1466.4</v>
      </c>
      <c r="M1124" s="16">
        <f t="shared" si="85"/>
        <v>293.28000000000003</v>
      </c>
      <c r="N1124" s="15">
        <v>0</v>
      </c>
      <c r="O1124" s="16">
        <f t="shared" si="86"/>
        <v>1560</v>
      </c>
      <c r="P1124" s="15" t="s">
        <v>18</v>
      </c>
      <c r="Q1124" s="15">
        <v>0.06</v>
      </c>
      <c r="R1124" s="16">
        <f t="shared" si="87"/>
        <v>93.6</v>
      </c>
      <c r="S1124" s="15">
        <v>0</v>
      </c>
      <c r="T1124" s="15">
        <v>0</v>
      </c>
      <c r="U1124" s="17">
        <f t="shared" si="88"/>
        <v>93.6</v>
      </c>
      <c r="V1124" s="12" t="s">
        <v>59</v>
      </c>
      <c r="W1124" s="12">
        <v>143</v>
      </c>
    </row>
    <row r="1125" spans="4:23" s="12" customFormat="1" ht="30.75" customHeight="1" thickTop="1" thickBot="1" x14ac:dyDescent="0.35">
      <c r="D1125" s="10"/>
      <c r="G1125" s="13">
        <f t="shared" si="89"/>
        <v>1124</v>
      </c>
      <c r="H1125" s="18">
        <v>45978</v>
      </c>
      <c r="I1125" s="15" t="s">
        <v>21</v>
      </c>
      <c r="J1125" s="15">
        <v>3708</v>
      </c>
      <c r="K1125" s="15">
        <v>15</v>
      </c>
      <c r="L1125" s="15">
        <v>3485.52</v>
      </c>
      <c r="M1125" s="16">
        <f t="shared" si="85"/>
        <v>232.36799999999999</v>
      </c>
      <c r="N1125" s="15">
        <v>0</v>
      </c>
      <c r="O1125" s="16">
        <f t="shared" si="86"/>
        <v>3708</v>
      </c>
      <c r="P1125" s="15" t="s">
        <v>18</v>
      </c>
      <c r="Q1125" s="15">
        <v>0.06</v>
      </c>
      <c r="R1125" s="16">
        <f t="shared" si="87"/>
        <v>222.48</v>
      </c>
      <c r="S1125" s="15">
        <v>0</v>
      </c>
      <c r="T1125" s="15">
        <v>0</v>
      </c>
      <c r="U1125" s="17">
        <f t="shared" si="88"/>
        <v>222.48</v>
      </c>
      <c r="V1125" s="12" t="s">
        <v>59</v>
      </c>
      <c r="W1125" s="12">
        <v>143</v>
      </c>
    </row>
    <row r="1126" spans="4:23" s="12" customFormat="1" ht="30.75" customHeight="1" thickTop="1" thickBot="1" x14ac:dyDescent="0.35">
      <c r="D1126" s="10"/>
      <c r="G1126" s="13">
        <f t="shared" si="89"/>
        <v>1125</v>
      </c>
      <c r="H1126" s="18">
        <v>45978</v>
      </c>
      <c r="I1126" s="15" t="s">
        <v>23</v>
      </c>
      <c r="J1126" s="15">
        <v>38400</v>
      </c>
      <c r="K1126" s="15">
        <v>200</v>
      </c>
      <c r="L1126" s="15">
        <v>36096</v>
      </c>
      <c r="M1126" s="16">
        <f t="shared" si="85"/>
        <v>180.48</v>
      </c>
      <c r="N1126" s="15">
        <v>0</v>
      </c>
      <c r="O1126" s="16">
        <f t="shared" si="86"/>
        <v>38400</v>
      </c>
      <c r="P1126" s="15" t="s">
        <v>18</v>
      </c>
      <c r="Q1126" s="15">
        <v>0.06</v>
      </c>
      <c r="R1126" s="16">
        <f t="shared" si="87"/>
        <v>2304</v>
      </c>
      <c r="S1126" s="15">
        <v>0</v>
      </c>
      <c r="T1126" s="15">
        <v>0</v>
      </c>
      <c r="U1126" s="17">
        <f t="shared" si="88"/>
        <v>2304</v>
      </c>
      <c r="V1126" s="12" t="s">
        <v>59</v>
      </c>
      <c r="W1126" s="12">
        <v>143</v>
      </c>
    </row>
    <row r="1127" spans="4:23" s="12" customFormat="1" ht="30.75" customHeight="1" thickTop="1" thickBot="1" x14ac:dyDescent="0.35">
      <c r="D1127" s="10"/>
      <c r="G1127" s="13">
        <f t="shared" si="89"/>
        <v>1126</v>
      </c>
      <c r="H1127" s="18">
        <v>45978</v>
      </c>
      <c r="I1127" s="15" t="s">
        <v>24</v>
      </c>
      <c r="J1127" s="15">
        <v>12026.48</v>
      </c>
      <c r="K1127" s="15">
        <v>37</v>
      </c>
      <c r="L1127" s="15">
        <v>11304.89</v>
      </c>
      <c r="M1127" s="16">
        <f t="shared" si="85"/>
        <v>305.53756756756758</v>
      </c>
      <c r="N1127" s="15">
        <v>0</v>
      </c>
      <c r="O1127" s="16">
        <f t="shared" si="86"/>
        <v>12026.48</v>
      </c>
      <c r="P1127" s="15" t="s">
        <v>18</v>
      </c>
      <c r="Q1127" s="15">
        <v>0.06</v>
      </c>
      <c r="R1127" s="16">
        <f t="shared" si="87"/>
        <v>721.58879999999999</v>
      </c>
      <c r="S1127" s="15">
        <v>0</v>
      </c>
      <c r="T1127" s="15">
        <v>0</v>
      </c>
      <c r="U1127" s="17">
        <f t="shared" si="88"/>
        <v>721.58879999999999</v>
      </c>
      <c r="V1127" s="12" t="s">
        <v>59</v>
      </c>
      <c r="W1127" s="12">
        <v>143</v>
      </c>
    </row>
    <row r="1128" spans="4:23" s="12" customFormat="1" ht="30.75" customHeight="1" thickTop="1" thickBot="1" x14ac:dyDescent="0.35">
      <c r="D1128" s="10"/>
      <c r="G1128" s="13">
        <f t="shared" si="89"/>
        <v>1127</v>
      </c>
      <c r="H1128" s="18">
        <v>45978</v>
      </c>
      <c r="I1128" s="15" t="s">
        <v>31</v>
      </c>
      <c r="J1128" s="15">
        <v>4800</v>
      </c>
      <c r="K1128" s="15">
        <v>25</v>
      </c>
      <c r="L1128" s="15">
        <v>4512</v>
      </c>
      <c r="M1128" s="16">
        <f t="shared" si="85"/>
        <v>180.48</v>
      </c>
      <c r="N1128" s="15">
        <v>0</v>
      </c>
      <c r="O1128" s="16">
        <f t="shared" si="86"/>
        <v>4800</v>
      </c>
      <c r="P1128" s="15" t="s">
        <v>18</v>
      </c>
      <c r="Q1128" s="15">
        <v>0.06</v>
      </c>
      <c r="R1128" s="16">
        <f t="shared" si="87"/>
        <v>288</v>
      </c>
      <c r="S1128" s="15">
        <v>0</v>
      </c>
      <c r="T1128" s="15">
        <v>0</v>
      </c>
      <c r="U1128" s="17">
        <f t="shared" si="88"/>
        <v>288</v>
      </c>
      <c r="V1128" s="12" t="s">
        <v>59</v>
      </c>
      <c r="W1128" s="12">
        <v>143</v>
      </c>
    </row>
    <row r="1129" spans="4:23" s="12" customFormat="1" ht="30.75" customHeight="1" thickTop="1" thickBot="1" x14ac:dyDescent="0.35">
      <c r="D1129" s="10"/>
      <c r="G1129" s="13">
        <f t="shared" si="89"/>
        <v>1128</v>
      </c>
      <c r="H1129" s="18">
        <v>45978</v>
      </c>
      <c r="I1129" s="15" t="s">
        <v>36</v>
      </c>
      <c r="J1129" s="15">
        <v>650.08000000000004</v>
      </c>
      <c r="K1129" s="15">
        <v>2</v>
      </c>
      <c r="L1129" s="15">
        <v>611.08000000000004</v>
      </c>
      <c r="M1129" s="16">
        <f t="shared" si="85"/>
        <v>305.54000000000002</v>
      </c>
      <c r="N1129" s="15">
        <v>0</v>
      </c>
      <c r="O1129" s="16">
        <f t="shared" si="86"/>
        <v>650.08000000000004</v>
      </c>
      <c r="P1129" s="15" t="s">
        <v>18</v>
      </c>
      <c r="Q1129" s="15">
        <v>0.06</v>
      </c>
      <c r="R1129" s="16">
        <f t="shared" si="87"/>
        <v>39.004800000000003</v>
      </c>
      <c r="S1129" s="15">
        <v>0</v>
      </c>
      <c r="T1129" s="15">
        <v>0</v>
      </c>
      <c r="U1129" s="17">
        <f t="shared" si="88"/>
        <v>39.004800000000003</v>
      </c>
      <c r="V1129" s="12" t="s">
        <v>59</v>
      </c>
      <c r="W1129" s="12">
        <v>143</v>
      </c>
    </row>
    <row r="1130" spans="4:23" s="12" customFormat="1" ht="30.75" customHeight="1" thickTop="1" thickBot="1" x14ac:dyDescent="0.35">
      <c r="D1130" s="10"/>
      <c r="G1130" s="13">
        <f t="shared" si="89"/>
        <v>1129</v>
      </c>
      <c r="H1130" s="18">
        <v>45980</v>
      </c>
      <c r="I1130" s="15" t="s">
        <v>25</v>
      </c>
      <c r="J1130" s="15">
        <v>60005</v>
      </c>
      <c r="K1130" s="15">
        <v>250</v>
      </c>
      <c r="L1130" s="15">
        <v>50542.21</v>
      </c>
      <c r="M1130" s="16">
        <f t="shared" si="85"/>
        <v>202.16883999999999</v>
      </c>
      <c r="N1130" s="15">
        <v>0</v>
      </c>
      <c r="O1130" s="16">
        <f t="shared" si="86"/>
        <v>60005</v>
      </c>
      <c r="P1130" s="15" t="s">
        <v>26</v>
      </c>
      <c r="Q1130" s="15">
        <v>0.02</v>
      </c>
      <c r="R1130" s="16">
        <f t="shared" si="87"/>
        <v>1200.1000000000001</v>
      </c>
      <c r="S1130" s="15">
        <v>0</v>
      </c>
      <c r="T1130" s="15">
        <v>0</v>
      </c>
      <c r="U1130" s="17">
        <f t="shared" si="88"/>
        <v>1200.1000000000001</v>
      </c>
      <c r="V1130" s="12" t="s">
        <v>59</v>
      </c>
      <c r="W1130" s="12">
        <v>144</v>
      </c>
    </row>
    <row r="1131" spans="4:23" s="12" customFormat="1" ht="30.75" customHeight="1" thickTop="1" thickBot="1" x14ac:dyDescent="0.35">
      <c r="D1131" s="10"/>
      <c r="G1131" s="13">
        <f t="shared" si="89"/>
        <v>1130</v>
      </c>
      <c r="H1131" s="18">
        <v>45980</v>
      </c>
      <c r="I1131" s="15" t="s">
        <v>39</v>
      </c>
      <c r="J1131" s="15">
        <v>12001</v>
      </c>
      <c r="K1131" s="15">
        <v>50</v>
      </c>
      <c r="L1131" s="15">
        <v>9688.41</v>
      </c>
      <c r="M1131" s="16">
        <f t="shared" si="85"/>
        <v>193.76820000000001</v>
      </c>
      <c r="N1131" s="15">
        <v>0</v>
      </c>
      <c r="O1131" s="16">
        <f t="shared" si="86"/>
        <v>12001</v>
      </c>
      <c r="P1131" s="15" t="s">
        <v>26</v>
      </c>
      <c r="Q1131" s="15">
        <v>0.02</v>
      </c>
      <c r="R1131" s="16">
        <f t="shared" si="87"/>
        <v>240.02</v>
      </c>
      <c r="S1131" s="15">
        <v>0</v>
      </c>
      <c r="T1131" s="15">
        <v>0</v>
      </c>
      <c r="U1131" s="17">
        <f t="shared" si="88"/>
        <v>240.02</v>
      </c>
      <c r="V1131" s="12" t="s">
        <v>59</v>
      </c>
      <c r="W1131" s="12">
        <v>144</v>
      </c>
    </row>
    <row r="1132" spans="4:23" s="12" customFormat="1" ht="30.75" customHeight="1" thickTop="1" thickBot="1" x14ac:dyDescent="0.35">
      <c r="D1132" s="10"/>
      <c r="G1132" s="13">
        <f t="shared" si="89"/>
        <v>1131</v>
      </c>
      <c r="H1132" s="18">
        <v>45980</v>
      </c>
      <c r="I1132" s="15" t="s">
        <v>30</v>
      </c>
      <c r="J1132" s="15">
        <v>30725</v>
      </c>
      <c r="K1132" s="15">
        <v>100</v>
      </c>
      <c r="L1132" s="15">
        <v>21169.53</v>
      </c>
      <c r="M1132" s="16">
        <f t="shared" si="85"/>
        <v>211.69529999999997</v>
      </c>
      <c r="N1132" s="15">
        <v>0</v>
      </c>
      <c r="O1132" s="16">
        <f t="shared" si="86"/>
        <v>30725</v>
      </c>
      <c r="P1132" s="15" t="s">
        <v>18</v>
      </c>
      <c r="Q1132" s="15">
        <v>0.06</v>
      </c>
      <c r="R1132" s="16">
        <f t="shared" si="87"/>
        <v>1843.5</v>
      </c>
      <c r="S1132" s="15">
        <v>0</v>
      </c>
      <c r="T1132" s="15">
        <v>0</v>
      </c>
      <c r="U1132" s="17">
        <f t="shared" si="88"/>
        <v>1843.5</v>
      </c>
      <c r="V1132" s="12" t="s">
        <v>59</v>
      </c>
      <c r="W1132" s="12">
        <v>144</v>
      </c>
    </row>
    <row r="1133" spans="4:23" s="12" customFormat="1" ht="30.75" customHeight="1" thickTop="1" thickBot="1" x14ac:dyDescent="0.35">
      <c r="D1133" s="10"/>
      <c r="G1133" s="13">
        <f t="shared" si="89"/>
        <v>1132</v>
      </c>
      <c r="H1133" s="18">
        <v>45980</v>
      </c>
      <c r="I1133" s="15" t="s">
        <v>17</v>
      </c>
      <c r="J1133" s="15">
        <v>107537.5</v>
      </c>
      <c r="K1133" s="15">
        <v>350</v>
      </c>
      <c r="L1133" s="15">
        <v>74093.34</v>
      </c>
      <c r="M1133" s="16">
        <f t="shared" si="85"/>
        <v>211.69525714285714</v>
      </c>
      <c r="N1133" s="15">
        <v>0</v>
      </c>
      <c r="O1133" s="16">
        <f t="shared" si="86"/>
        <v>107537.5</v>
      </c>
      <c r="P1133" s="15" t="s">
        <v>18</v>
      </c>
      <c r="Q1133" s="15">
        <v>0.06</v>
      </c>
      <c r="R1133" s="16">
        <f t="shared" si="87"/>
        <v>6452.25</v>
      </c>
      <c r="S1133" s="15">
        <v>0</v>
      </c>
      <c r="T1133" s="15">
        <v>0</v>
      </c>
      <c r="U1133" s="17">
        <f t="shared" si="88"/>
        <v>6452.25</v>
      </c>
      <c r="V1133" s="12" t="s">
        <v>59</v>
      </c>
      <c r="W1133" s="12">
        <v>144</v>
      </c>
    </row>
    <row r="1134" spans="4:23" s="12" customFormat="1" ht="30.75" customHeight="1" thickTop="1" thickBot="1" x14ac:dyDescent="0.35">
      <c r="D1134" s="10"/>
      <c r="G1134" s="13">
        <f t="shared" si="89"/>
        <v>1133</v>
      </c>
      <c r="H1134" s="18">
        <v>45980</v>
      </c>
      <c r="I1134" s="36" t="s">
        <v>20</v>
      </c>
      <c r="J1134" s="15">
        <v>936</v>
      </c>
      <c r="K1134" s="15">
        <v>3</v>
      </c>
      <c r="L1134" s="15">
        <v>879.84</v>
      </c>
      <c r="M1134" s="16">
        <f t="shared" si="85"/>
        <v>293.28000000000003</v>
      </c>
      <c r="N1134" s="15">
        <v>0</v>
      </c>
      <c r="O1134" s="16">
        <f t="shared" si="86"/>
        <v>936</v>
      </c>
      <c r="P1134" s="15" t="s">
        <v>18</v>
      </c>
      <c r="Q1134" s="15">
        <v>0.06</v>
      </c>
      <c r="R1134" s="16">
        <f t="shared" si="87"/>
        <v>56.16</v>
      </c>
      <c r="S1134" s="15">
        <v>0</v>
      </c>
      <c r="T1134" s="15">
        <v>0</v>
      </c>
      <c r="U1134" s="17">
        <f t="shared" si="88"/>
        <v>56.16</v>
      </c>
      <c r="V1134" s="12" t="s">
        <v>59</v>
      </c>
      <c r="W1134" s="12">
        <v>144</v>
      </c>
    </row>
    <row r="1135" spans="4:23" s="12" customFormat="1" ht="30.75" customHeight="1" thickTop="1" thickBot="1" x14ac:dyDescent="0.35">
      <c r="D1135" s="10"/>
      <c r="G1135" s="13">
        <f t="shared" si="89"/>
        <v>1134</v>
      </c>
      <c r="H1135" s="18">
        <v>45980</v>
      </c>
      <c r="I1135" s="15" t="s">
        <v>21</v>
      </c>
      <c r="J1135" s="15">
        <v>1977.6</v>
      </c>
      <c r="K1135" s="15">
        <v>8</v>
      </c>
      <c r="L1135" s="15">
        <v>1858.94</v>
      </c>
      <c r="M1135" s="16">
        <f t="shared" si="85"/>
        <v>232.36750000000001</v>
      </c>
      <c r="N1135" s="15">
        <v>0</v>
      </c>
      <c r="O1135" s="16">
        <f t="shared" si="86"/>
        <v>1977.6</v>
      </c>
      <c r="P1135" s="15" t="s">
        <v>18</v>
      </c>
      <c r="Q1135" s="15">
        <v>0.06</v>
      </c>
      <c r="R1135" s="16">
        <f t="shared" si="87"/>
        <v>118.65599999999999</v>
      </c>
      <c r="S1135" s="15">
        <v>0</v>
      </c>
      <c r="T1135" s="15">
        <v>0</v>
      </c>
      <c r="U1135" s="17">
        <f t="shared" si="88"/>
        <v>118.65599999999999</v>
      </c>
      <c r="V1135" s="12" t="s">
        <v>59</v>
      </c>
      <c r="W1135" s="12">
        <v>144</v>
      </c>
    </row>
    <row r="1136" spans="4:23" s="12" customFormat="1" ht="30.75" customHeight="1" thickTop="1" thickBot="1" x14ac:dyDescent="0.35">
      <c r="D1136" s="10"/>
      <c r="G1136" s="13">
        <f t="shared" si="89"/>
        <v>1135</v>
      </c>
      <c r="H1136" s="18">
        <v>45980</v>
      </c>
      <c r="I1136" s="15" t="s">
        <v>23</v>
      </c>
      <c r="J1136" s="15">
        <v>28800</v>
      </c>
      <c r="K1136" s="15">
        <v>150</v>
      </c>
      <c r="L1136" s="15">
        <v>27072</v>
      </c>
      <c r="M1136" s="16">
        <f t="shared" si="85"/>
        <v>180.48</v>
      </c>
      <c r="N1136" s="15">
        <v>0</v>
      </c>
      <c r="O1136" s="16">
        <f t="shared" si="86"/>
        <v>28800</v>
      </c>
      <c r="P1136" s="15" t="s">
        <v>18</v>
      </c>
      <c r="Q1136" s="15">
        <v>0.06</v>
      </c>
      <c r="R1136" s="16">
        <f t="shared" si="87"/>
        <v>1728</v>
      </c>
      <c r="S1136" s="15">
        <v>-4195</v>
      </c>
      <c r="T1136" s="15">
        <v>0</v>
      </c>
      <c r="U1136" s="17">
        <f t="shared" si="88"/>
        <v>-2467</v>
      </c>
      <c r="V1136" s="12" t="s">
        <v>59</v>
      </c>
      <c r="W1136" s="12">
        <v>144</v>
      </c>
    </row>
    <row r="1137" spans="4:23" s="12" customFormat="1" ht="30.75" customHeight="1" thickTop="1" thickBot="1" x14ac:dyDescent="0.35">
      <c r="D1137" s="10"/>
      <c r="G1137" s="13">
        <f t="shared" si="89"/>
        <v>1136</v>
      </c>
      <c r="H1137" s="18">
        <v>45980</v>
      </c>
      <c r="I1137" s="15" t="s">
        <v>24</v>
      </c>
      <c r="J1137" s="15">
        <v>6500.8</v>
      </c>
      <c r="K1137" s="15">
        <v>20</v>
      </c>
      <c r="L1137" s="15">
        <v>6110.75</v>
      </c>
      <c r="M1137" s="16">
        <f t="shared" si="85"/>
        <v>305.53750000000002</v>
      </c>
      <c r="N1137" s="15">
        <v>0</v>
      </c>
      <c r="O1137" s="16">
        <f t="shared" si="86"/>
        <v>6500.8</v>
      </c>
      <c r="P1137" s="15" t="s">
        <v>18</v>
      </c>
      <c r="Q1137" s="15">
        <v>0.06</v>
      </c>
      <c r="R1137" s="16">
        <f t="shared" si="87"/>
        <v>390.048</v>
      </c>
      <c r="S1137" s="15">
        <v>17700</v>
      </c>
      <c r="T1137" s="15">
        <v>0</v>
      </c>
      <c r="U1137" s="17">
        <f t="shared" si="88"/>
        <v>18090.047999999999</v>
      </c>
      <c r="V1137" s="12" t="s">
        <v>59</v>
      </c>
      <c r="W1137" s="12">
        <v>144</v>
      </c>
    </row>
    <row r="1138" spans="4:23" s="12" customFormat="1" ht="30.75" customHeight="1" thickTop="1" thickBot="1" x14ac:dyDescent="0.35">
      <c r="D1138" s="10"/>
      <c r="G1138" s="13">
        <f t="shared" si="89"/>
        <v>1137</v>
      </c>
      <c r="H1138" s="18">
        <v>45980</v>
      </c>
      <c r="I1138" s="15" t="s">
        <v>31</v>
      </c>
      <c r="J1138" s="15">
        <v>3840</v>
      </c>
      <c r="K1138" s="15">
        <v>20</v>
      </c>
      <c r="L1138" s="15">
        <v>3609.6</v>
      </c>
      <c r="M1138" s="16">
        <f t="shared" si="85"/>
        <v>180.48</v>
      </c>
      <c r="N1138" s="15">
        <v>0</v>
      </c>
      <c r="O1138" s="16">
        <f t="shared" si="86"/>
        <v>3840</v>
      </c>
      <c r="P1138" s="15" t="s">
        <v>18</v>
      </c>
      <c r="Q1138" s="15">
        <v>0.06</v>
      </c>
      <c r="R1138" s="16">
        <f t="shared" si="87"/>
        <v>230.39999999999998</v>
      </c>
      <c r="S1138" s="15">
        <v>0</v>
      </c>
      <c r="T1138" s="15">
        <v>0</v>
      </c>
      <c r="U1138" s="17">
        <f t="shared" si="88"/>
        <v>230.39999999999998</v>
      </c>
      <c r="V1138" s="12" t="s">
        <v>59</v>
      </c>
      <c r="W1138" s="12">
        <v>144</v>
      </c>
    </row>
    <row r="1139" spans="4:23" s="10" customFormat="1" ht="30.75" customHeight="1" thickTop="1" thickBot="1" x14ac:dyDescent="0.35">
      <c r="G1139" s="25">
        <f t="shared" si="89"/>
        <v>1138</v>
      </c>
      <c r="H1139" s="26">
        <v>45980</v>
      </c>
      <c r="I1139" s="16" t="s">
        <v>36</v>
      </c>
      <c r="J1139" s="16">
        <v>650.08000000000004</v>
      </c>
      <c r="K1139" s="16">
        <v>2</v>
      </c>
      <c r="L1139" s="16">
        <v>611.08000000000004</v>
      </c>
      <c r="M1139" s="16">
        <f t="shared" si="85"/>
        <v>305.54000000000002</v>
      </c>
      <c r="N1139" s="15">
        <v>0</v>
      </c>
      <c r="O1139" s="16">
        <f t="shared" si="86"/>
        <v>650.08000000000004</v>
      </c>
      <c r="P1139" s="15" t="s">
        <v>18</v>
      </c>
      <c r="Q1139" s="15">
        <v>0.06</v>
      </c>
      <c r="R1139" s="16">
        <f t="shared" si="87"/>
        <v>39.004800000000003</v>
      </c>
      <c r="S1139" s="15">
        <v>0</v>
      </c>
      <c r="T1139" s="15">
        <v>0</v>
      </c>
      <c r="U1139" s="17">
        <f t="shared" si="88"/>
        <v>39.004800000000003</v>
      </c>
      <c r="V1139" s="12" t="s">
        <v>59</v>
      </c>
      <c r="W1139" s="12">
        <v>144</v>
      </c>
    </row>
    <row r="1140" spans="4:23" s="12" customFormat="1" ht="30.75" customHeight="1" thickTop="1" thickBot="1" x14ac:dyDescent="0.35">
      <c r="D1140" s="10"/>
      <c r="G1140" s="13">
        <f t="shared" si="89"/>
        <v>1139</v>
      </c>
      <c r="H1140" s="18">
        <v>45983</v>
      </c>
      <c r="I1140" s="15" t="s">
        <v>30</v>
      </c>
      <c r="J1140" s="15">
        <v>107537.5</v>
      </c>
      <c r="K1140" s="15">
        <v>350</v>
      </c>
      <c r="L1140" s="15">
        <v>74093.34</v>
      </c>
      <c r="M1140" s="16">
        <f t="shared" si="85"/>
        <v>211.69525714285714</v>
      </c>
      <c r="N1140" s="15">
        <v>0</v>
      </c>
      <c r="O1140" s="16">
        <f t="shared" si="86"/>
        <v>107537.5</v>
      </c>
      <c r="P1140" s="15" t="s">
        <v>18</v>
      </c>
      <c r="Q1140" s="15">
        <v>0.06</v>
      </c>
      <c r="R1140" s="16">
        <f t="shared" si="87"/>
        <v>6452.25</v>
      </c>
      <c r="S1140" s="15">
        <v>0</v>
      </c>
      <c r="T1140" s="15">
        <v>0</v>
      </c>
      <c r="U1140" s="17">
        <f t="shared" si="88"/>
        <v>6452.25</v>
      </c>
      <c r="V1140" s="12" t="s">
        <v>63</v>
      </c>
      <c r="W1140" s="12">
        <v>145</v>
      </c>
    </row>
    <row r="1141" spans="4:23" s="12" customFormat="1" ht="30.75" customHeight="1" thickTop="1" thickBot="1" x14ac:dyDescent="0.35">
      <c r="D1141" s="10"/>
      <c r="G1141" s="13">
        <f t="shared" si="89"/>
        <v>1140</v>
      </c>
      <c r="H1141" s="18">
        <v>45983</v>
      </c>
      <c r="I1141" s="15" t="s">
        <v>17</v>
      </c>
      <c r="J1141" s="15">
        <v>145329.25</v>
      </c>
      <c r="K1141" s="15">
        <v>473</v>
      </c>
      <c r="L1141" s="15">
        <v>100131.73</v>
      </c>
      <c r="M1141" s="16">
        <f t="shared" si="85"/>
        <v>211.69498942917548</v>
      </c>
      <c r="N1141" s="15">
        <v>0</v>
      </c>
      <c r="O1141" s="16">
        <f t="shared" si="86"/>
        <v>145329.25</v>
      </c>
      <c r="P1141" s="15" t="s">
        <v>18</v>
      </c>
      <c r="Q1141" s="15">
        <v>0.06</v>
      </c>
      <c r="R1141" s="16">
        <f t="shared" si="87"/>
        <v>8719.7549999999992</v>
      </c>
      <c r="S1141" s="15">
        <v>0</v>
      </c>
      <c r="T1141" s="15">
        <v>0</v>
      </c>
      <c r="U1141" s="17">
        <f t="shared" si="88"/>
        <v>8719.7549999999992</v>
      </c>
      <c r="V1141" s="12" t="s">
        <v>63</v>
      </c>
      <c r="W1141" s="12">
        <v>145</v>
      </c>
    </row>
    <row r="1142" spans="4:23" s="12" customFormat="1" ht="30.75" customHeight="1" thickTop="1" thickBot="1" x14ac:dyDescent="0.35">
      <c r="D1142" s="10"/>
      <c r="G1142" s="13">
        <f t="shared" si="89"/>
        <v>1141</v>
      </c>
      <c r="H1142" s="18">
        <v>45983</v>
      </c>
      <c r="I1142" s="36" t="s">
        <v>20</v>
      </c>
      <c r="J1142" s="15">
        <v>936</v>
      </c>
      <c r="K1142" s="15">
        <v>3</v>
      </c>
      <c r="L1142" s="15">
        <v>879.84</v>
      </c>
      <c r="M1142" s="16">
        <f t="shared" si="85"/>
        <v>293.28000000000003</v>
      </c>
      <c r="N1142" s="15">
        <v>0</v>
      </c>
      <c r="O1142" s="16">
        <f t="shared" si="86"/>
        <v>936</v>
      </c>
      <c r="P1142" s="15" t="s">
        <v>18</v>
      </c>
      <c r="Q1142" s="15">
        <v>0.06</v>
      </c>
      <c r="R1142" s="16">
        <f t="shared" si="87"/>
        <v>56.16</v>
      </c>
      <c r="S1142" s="15">
        <v>0</v>
      </c>
      <c r="T1142" s="15">
        <v>0</v>
      </c>
      <c r="U1142" s="17">
        <f t="shared" si="88"/>
        <v>56.16</v>
      </c>
      <c r="V1142" s="12" t="s">
        <v>63</v>
      </c>
      <c r="W1142" s="12">
        <v>145</v>
      </c>
    </row>
    <row r="1143" spans="4:23" s="12" customFormat="1" ht="30.75" customHeight="1" thickTop="1" thickBot="1" x14ac:dyDescent="0.35">
      <c r="D1143" s="10"/>
      <c r="G1143" s="13">
        <f t="shared" si="89"/>
        <v>1142</v>
      </c>
      <c r="H1143" s="18">
        <v>45983</v>
      </c>
      <c r="I1143" s="15" t="s">
        <v>21</v>
      </c>
      <c r="J1143" s="15">
        <v>1236</v>
      </c>
      <c r="K1143" s="15">
        <v>5</v>
      </c>
      <c r="L1143" s="15">
        <v>1161.8399999999999</v>
      </c>
      <c r="M1143" s="16">
        <f t="shared" si="85"/>
        <v>232.36799999999999</v>
      </c>
      <c r="N1143" s="15">
        <v>0</v>
      </c>
      <c r="O1143" s="16">
        <f t="shared" si="86"/>
        <v>1236</v>
      </c>
      <c r="P1143" s="15" t="s">
        <v>18</v>
      </c>
      <c r="Q1143" s="15">
        <v>0.06</v>
      </c>
      <c r="R1143" s="16">
        <f t="shared" si="87"/>
        <v>74.16</v>
      </c>
      <c r="S1143" s="15">
        <v>0</v>
      </c>
      <c r="T1143" s="15">
        <v>0</v>
      </c>
      <c r="U1143" s="17">
        <f t="shared" si="88"/>
        <v>74.16</v>
      </c>
      <c r="V1143" s="12" t="s">
        <v>63</v>
      </c>
      <c r="W1143" s="12">
        <v>145</v>
      </c>
    </row>
    <row r="1144" spans="4:23" s="12" customFormat="1" ht="30.75" customHeight="1" thickTop="1" thickBot="1" x14ac:dyDescent="0.35">
      <c r="D1144" s="10"/>
      <c r="G1144" s="13">
        <f t="shared" si="89"/>
        <v>1143</v>
      </c>
      <c r="H1144" s="18">
        <v>45983</v>
      </c>
      <c r="I1144" s="15" t="s">
        <v>23</v>
      </c>
      <c r="J1144" s="15">
        <v>38400</v>
      </c>
      <c r="K1144" s="15">
        <v>200</v>
      </c>
      <c r="L1144" s="15">
        <v>36096</v>
      </c>
      <c r="M1144" s="16">
        <f t="shared" si="85"/>
        <v>180.48</v>
      </c>
      <c r="N1144" s="15">
        <v>0</v>
      </c>
      <c r="O1144" s="16">
        <f t="shared" si="86"/>
        <v>38400</v>
      </c>
      <c r="P1144" s="15" t="s">
        <v>18</v>
      </c>
      <c r="Q1144" s="15">
        <v>0.06</v>
      </c>
      <c r="R1144" s="16">
        <f t="shared" si="87"/>
        <v>2304</v>
      </c>
      <c r="S1144" s="15">
        <v>0</v>
      </c>
      <c r="T1144" s="15">
        <v>0</v>
      </c>
      <c r="U1144" s="17">
        <f t="shared" si="88"/>
        <v>2304</v>
      </c>
      <c r="V1144" s="12" t="s">
        <v>63</v>
      </c>
      <c r="W1144" s="12">
        <v>145</v>
      </c>
    </row>
    <row r="1145" spans="4:23" s="12" customFormat="1" ht="30.75" customHeight="1" thickTop="1" thickBot="1" x14ac:dyDescent="0.35">
      <c r="D1145" s="10"/>
      <c r="G1145" s="13">
        <f t="shared" si="89"/>
        <v>1144</v>
      </c>
      <c r="H1145" s="18">
        <v>45983</v>
      </c>
      <c r="I1145" s="15" t="s">
        <v>24</v>
      </c>
      <c r="J1145" s="15">
        <v>9751.2000000000007</v>
      </c>
      <c r="K1145" s="15">
        <v>30</v>
      </c>
      <c r="L1145" s="15">
        <v>9166.1299999999992</v>
      </c>
      <c r="M1145" s="16">
        <f t="shared" si="85"/>
        <v>305.53766666666667</v>
      </c>
      <c r="N1145" s="15">
        <v>0</v>
      </c>
      <c r="O1145" s="16">
        <f t="shared" si="86"/>
        <v>9751.2000000000007</v>
      </c>
      <c r="P1145" s="15" t="s">
        <v>18</v>
      </c>
      <c r="Q1145" s="15">
        <v>0.06</v>
      </c>
      <c r="R1145" s="16">
        <f t="shared" si="87"/>
        <v>585.072</v>
      </c>
      <c r="S1145" s="15">
        <v>0</v>
      </c>
      <c r="T1145" s="15">
        <v>0</v>
      </c>
      <c r="U1145" s="17">
        <f t="shared" si="88"/>
        <v>585.072</v>
      </c>
      <c r="V1145" s="12" t="s">
        <v>63</v>
      </c>
      <c r="W1145" s="12">
        <v>145</v>
      </c>
    </row>
    <row r="1146" spans="4:23" s="12" customFormat="1" ht="30.75" customHeight="1" thickTop="1" thickBot="1" x14ac:dyDescent="0.35">
      <c r="D1146" s="10"/>
      <c r="G1146" s="13">
        <f t="shared" si="89"/>
        <v>1145</v>
      </c>
      <c r="H1146" s="18">
        <v>45983</v>
      </c>
      <c r="I1146" s="15" t="s">
        <v>31</v>
      </c>
      <c r="J1146" s="15">
        <v>7680</v>
      </c>
      <c r="K1146" s="15">
        <v>40</v>
      </c>
      <c r="L1146" s="15">
        <v>7219.2</v>
      </c>
      <c r="M1146" s="16">
        <f t="shared" si="85"/>
        <v>180.48</v>
      </c>
      <c r="N1146" s="15">
        <v>0</v>
      </c>
      <c r="O1146" s="16">
        <f t="shared" si="86"/>
        <v>7680</v>
      </c>
      <c r="P1146" s="15" t="s">
        <v>18</v>
      </c>
      <c r="Q1146" s="15">
        <v>0.06</v>
      </c>
      <c r="R1146" s="16">
        <f t="shared" si="87"/>
        <v>460.79999999999995</v>
      </c>
      <c r="S1146" s="15">
        <v>0</v>
      </c>
      <c r="T1146" s="15">
        <v>0</v>
      </c>
      <c r="U1146" s="17">
        <f t="shared" si="88"/>
        <v>460.79999999999995</v>
      </c>
      <c r="V1146" s="12" t="s">
        <v>63</v>
      </c>
      <c r="W1146" s="12">
        <v>145</v>
      </c>
    </row>
    <row r="1147" spans="4:23" s="12" customFormat="1" ht="30.75" customHeight="1" thickTop="1" thickBot="1" x14ac:dyDescent="0.35">
      <c r="D1147" s="10"/>
      <c r="G1147" s="13">
        <f t="shared" si="89"/>
        <v>1146</v>
      </c>
      <c r="H1147" s="18">
        <v>45983</v>
      </c>
      <c r="I1147" s="15" t="s">
        <v>36</v>
      </c>
      <c r="J1147" s="15">
        <v>650.08000000000004</v>
      </c>
      <c r="K1147" s="15">
        <v>2</v>
      </c>
      <c r="L1147" s="15">
        <v>611.08000000000004</v>
      </c>
      <c r="M1147" s="16">
        <f t="shared" si="85"/>
        <v>305.54000000000002</v>
      </c>
      <c r="N1147" s="15">
        <v>0</v>
      </c>
      <c r="O1147" s="16">
        <f t="shared" si="86"/>
        <v>650.08000000000004</v>
      </c>
      <c r="P1147" s="15" t="s">
        <v>18</v>
      </c>
      <c r="Q1147" s="15">
        <v>0.06</v>
      </c>
      <c r="R1147" s="16">
        <f t="shared" si="87"/>
        <v>39.004800000000003</v>
      </c>
      <c r="S1147" s="15">
        <v>0</v>
      </c>
      <c r="T1147" s="15">
        <v>0</v>
      </c>
      <c r="U1147" s="17">
        <f t="shared" si="88"/>
        <v>39.004800000000003</v>
      </c>
      <c r="V1147" s="12" t="s">
        <v>63</v>
      </c>
      <c r="W1147" s="12">
        <v>145</v>
      </c>
    </row>
    <row r="1148" spans="4:23" s="12" customFormat="1" ht="30.75" customHeight="1" thickTop="1" thickBot="1" x14ac:dyDescent="0.35">
      <c r="D1148" s="10"/>
      <c r="G1148" s="13">
        <f t="shared" si="89"/>
        <v>1147</v>
      </c>
      <c r="H1148" s="18">
        <v>45983</v>
      </c>
      <c r="I1148" s="15" t="s">
        <v>45</v>
      </c>
      <c r="J1148" s="15">
        <v>8910</v>
      </c>
      <c r="K1148" s="15">
        <v>15</v>
      </c>
      <c r="L1148" s="15">
        <v>8464.5</v>
      </c>
      <c r="M1148" s="16">
        <f t="shared" si="85"/>
        <v>564.29999999999995</v>
      </c>
      <c r="N1148" s="15">
        <v>0</v>
      </c>
      <c r="O1148" s="16">
        <f t="shared" si="86"/>
        <v>8910</v>
      </c>
      <c r="P1148" s="15" t="s">
        <v>33</v>
      </c>
      <c r="Q1148" s="15">
        <v>0.01</v>
      </c>
      <c r="R1148" s="16">
        <f t="shared" si="87"/>
        <v>89.100000000000009</v>
      </c>
      <c r="S1148" s="15">
        <v>0</v>
      </c>
      <c r="T1148" s="15">
        <v>0</v>
      </c>
      <c r="U1148" s="17">
        <f t="shared" si="88"/>
        <v>89.100000000000009</v>
      </c>
      <c r="V1148" s="12" t="s">
        <v>63</v>
      </c>
      <c r="W1148" s="12">
        <v>145</v>
      </c>
    </row>
    <row r="1149" spans="4:23" s="12" customFormat="1" ht="30.75" customHeight="1" thickTop="1" thickBot="1" x14ac:dyDescent="0.35">
      <c r="D1149" s="10"/>
      <c r="G1149" s="13">
        <f t="shared" si="89"/>
        <v>1148</v>
      </c>
      <c r="H1149" s="18">
        <v>45983</v>
      </c>
      <c r="I1149" s="15" t="s">
        <v>51</v>
      </c>
      <c r="J1149" s="15">
        <v>5600</v>
      </c>
      <c r="K1149" s="15">
        <v>20</v>
      </c>
      <c r="L1149" s="15">
        <v>5320</v>
      </c>
      <c r="M1149" s="16">
        <f t="shared" si="85"/>
        <v>266</v>
      </c>
      <c r="N1149" s="15">
        <v>0</v>
      </c>
      <c r="O1149" s="16">
        <f t="shared" si="86"/>
        <v>5600</v>
      </c>
      <c r="P1149" s="15" t="s">
        <v>33</v>
      </c>
      <c r="Q1149" s="15">
        <v>0.01</v>
      </c>
      <c r="R1149" s="16">
        <f t="shared" si="87"/>
        <v>56</v>
      </c>
      <c r="S1149" s="15">
        <v>0</v>
      </c>
      <c r="T1149" s="15">
        <v>0</v>
      </c>
      <c r="U1149" s="17">
        <f t="shared" si="88"/>
        <v>56</v>
      </c>
      <c r="V1149" s="12" t="s">
        <v>63</v>
      </c>
      <c r="W1149" s="12">
        <v>145</v>
      </c>
    </row>
    <row r="1150" spans="4:23" s="12" customFormat="1" ht="30.75" customHeight="1" thickTop="1" thickBot="1" x14ac:dyDescent="0.35">
      <c r="D1150" s="10"/>
      <c r="G1150" s="13">
        <f t="shared" si="89"/>
        <v>1149</v>
      </c>
      <c r="H1150" s="18">
        <v>45983</v>
      </c>
      <c r="I1150" s="15" t="s">
        <v>41</v>
      </c>
      <c r="J1150" s="15">
        <v>134508</v>
      </c>
      <c r="K1150" s="15">
        <v>1000</v>
      </c>
      <c r="L1150" s="15">
        <v>110363.81</v>
      </c>
      <c r="M1150" s="16">
        <f t="shared" si="85"/>
        <v>110.36381</v>
      </c>
      <c r="N1150" s="15">
        <v>0</v>
      </c>
      <c r="O1150" s="16">
        <f t="shared" si="86"/>
        <v>134508</v>
      </c>
      <c r="P1150" s="15" t="s">
        <v>26</v>
      </c>
      <c r="Q1150" s="15">
        <v>0.02</v>
      </c>
      <c r="R1150" s="16">
        <f t="shared" si="87"/>
        <v>2690.16</v>
      </c>
      <c r="S1150" s="15">
        <v>0</v>
      </c>
      <c r="T1150" s="15">
        <v>0</v>
      </c>
      <c r="U1150" s="17">
        <f t="shared" si="88"/>
        <v>2690.16</v>
      </c>
      <c r="V1150" s="12" t="s">
        <v>63</v>
      </c>
      <c r="W1150" s="12">
        <v>145</v>
      </c>
    </row>
    <row r="1151" spans="4:23" s="12" customFormat="1" ht="30.75" customHeight="1" thickTop="1" thickBot="1" x14ac:dyDescent="0.35">
      <c r="D1151" s="10"/>
      <c r="G1151" s="13">
        <f t="shared" si="89"/>
        <v>1150</v>
      </c>
      <c r="H1151" s="18">
        <v>45985</v>
      </c>
      <c r="I1151" s="15" t="s">
        <v>64</v>
      </c>
      <c r="J1151" s="15">
        <v>3630</v>
      </c>
      <c r="K1151" s="15">
        <v>10</v>
      </c>
      <c r="L1151" s="15">
        <v>3412.2</v>
      </c>
      <c r="M1151" s="16">
        <f t="shared" si="85"/>
        <v>341.21999999999997</v>
      </c>
      <c r="N1151" s="15">
        <v>0</v>
      </c>
      <c r="O1151" s="16">
        <f t="shared" si="86"/>
        <v>3630</v>
      </c>
      <c r="P1151" s="15" t="s">
        <v>26</v>
      </c>
      <c r="Q1151" s="15">
        <v>0.02</v>
      </c>
      <c r="R1151" s="16">
        <f t="shared" si="87"/>
        <v>72.600000000000009</v>
      </c>
      <c r="S1151" s="15">
        <v>0</v>
      </c>
      <c r="T1151" s="15">
        <v>0</v>
      </c>
      <c r="U1151" s="17">
        <f t="shared" si="88"/>
        <v>72.600000000000009</v>
      </c>
      <c r="V1151" s="12" t="s">
        <v>63</v>
      </c>
      <c r="W1151" s="12">
        <v>146</v>
      </c>
    </row>
    <row r="1152" spans="4:23" s="12" customFormat="1" ht="30.75" customHeight="1" thickTop="1" thickBot="1" x14ac:dyDescent="0.35">
      <c r="D1152" s="10"/>
      <c r="G1152" s="13">
        <f t="shared" si="89"/>
        <v>1151</v>
      </c>
      <c r="H1152" s="18">
        <v>45985</v>
      </c>
      <c r="I1152" s="15" t="s">
        <v>30</v>
      </c>
      <c r="J1152" s="15">
        <v>58377.5</v>
      </c>
      <c r="K1152" s="15">
        <v>190</v>
      </c>
      <c r="L1152" s="15">
        <v>40222.1</v>
      </c>
      <c r="M1152" s="16">
        <f t="shared" si="85"/>
        <v>211.69526315789474</v>
      </c>
      <c r="N1152" s="15">
        <v>0</v>
      </c>
      <c r="O1152" s="16">
        <f t="shared" si="86"/>
        <v>58377.5</v>
      </c>
      <c r="P1152" s="15" t="s">
        <v>18</v>
      </c>
      <c r="Q1152" s="15">
        <v>0.06</v>
      </c>
      <c r="R1152" s="16">
        <f t="shared" si="87"/>
        <v>3502.65</v>
      </c>
      <c r="S1152" s="15">
        <v>0</v>
      </c>
      <c r="T1152" s="15">
        <v>0</v>
      </c>
      <c r="U1152" s="17">
        <f t="shared" si="88"/>
        <v>3502.65</v>
      </c>
      <c r="V1152" s="12" t="s">
        <v>63</v>
      </c>
      <c r="W1152" s="12">
        <v>146</v>
      </c>
    </row>
    <row r="1153" spans="4:23" s="12" customFormat="1" ht="30.75" customHeight="1" thickTop="1" thickBot="1" x14ac:dyDescent="0.35">
      <c r="D1153" s="10"/>
      <c r="G1153" s="13">
        <f t="shared" si="89"/>
        <v>1152</v>
      </c>
      <c r="H1153" s="18">
        <v>45985</v>
      </c>
      <c r="I1153" s="15" t="s">
        <v>17</v>
      </c>
      <c r="J1153" s="15">
        <v>67902.25</v>
      </c>
      <c r="K1153" s="15">
        <v>221</v>
      </c>
      <c r="L1153" s="15">
        <v>46784.65</v>
      </c>
      <c r="M1153" s="16">
        <f t="shared" si="85"/>
        <v>211.69524886877829</v>
      </c>
      <c r="N1153" s="15">
        <v>0</v>
      </c>
      <c r="O1153" s="16">
        <f t="shared" si="86"/>
        <v>67902.25</v>
      </c>
      <c r="P1153" s="15" t="s">
        <v>18</v>
      </c>
      <c r="Q1153" s="15">
        <v>0.06</v>
      </c>
      <c r="R1153" s="16">
        <f t="shared" si="87"/>
        <v>4074.1349999999998</v>
      </c>
      <c r="S1153" s="15">
        <v>0</v>
      </c>
      <c r="T1153" s="15">
        <v>0</v>
      </c>
      <c r="U1153" s="17">
        <f t="shared" si="88"/>
        <v>4074.1349999999998</v>
      </c>
      <c r="V1153" s="12" t="s">
        <v>63</v>
      </c>
      <c r="W1153" s="12">
        <v>146</v>
      </c>
    </row>
    <row r="1154" spans="4:23" s="12" customFormat="1" ht="30.75" customHeight="1" thickTop="1" thickBot="1" x14ac:dyDescent="0.35">
      <c r="D1154" s="10"/>
      <c r="G1154" s="13">
        <f t="shared" si="89"/>
        <v>1153</v>
      </c>
      <c r="H1154" s="18">
        <v>45985</v>
      </c>
      <c r="I1154" s="36" t="s">
        <v>20</v>
      </c>
      <c r="J1154" s="15">
        <v>936</v>
      </c>
      <c r="K1154" s="15">
        <v>3</v>
      </c>
      <c r="L1154" s="15">
        <v>879.84</v>
      </c>
      <c r="M1154" s="16">
        <f t="shared" ref="M1154:M1217" si="90">IFERROR(L1154/K1154,"")</f>
        <v>293.28000000000003</v>
      </c>
      <c r="N1154" s="15">
        <v>0</v>
      </c>
      <c r="O1154" s="16">
        <f t="shared" ref="O1154:O1217" si="91">J1154-N1154</f>
        <v>936</v>
      </c>
      <c r="P1154" s="15" t="s">
        <v>18</v>
      </c>
      <c r="Q1154" s="15">
        <v>0.06</v>
      </c>
      <c r="R1154" s="16">
        <f t="shared" ref="R1154:R1217" si="92">J1154*Q1154</f>
        <v>56.16</v>
      </c>
      <c r="S1154" s="15">
        <v>0</v>
      </c>
      <c r="T1154" s="15">
        <v>0</v>
      </c>
      <c r="U1154" s="17">
        <f t="shared" ref="U1154:U1217" si="93">T1154+S1154+R1154</f>
        <v>56.16</v>
      </c>
      <c r="V1154" s="12" t="s">
        <v>63</v>
      </c>
      <c r="W1154" s="12">
        <v>146</v>
      </c>
    </row>
    <row r="1155" spans="4:23" s="12" customFormat="1" ht="30.75" customHeight="1" thickTop="1" thickBot="1" x14ac:dyDescent="0.35">
      <c r="D1155" s="10"/>
      <c r="G1155" s="13">
        <f t="shared" si="89"/>
        <v>1154</v>
      </c>
      <c r="H1155" s="18">
        <v>45985</v>
      </c>
      <c r="I1155" s="15" t="s">
        <v>21</v>
      </c>
      <c r="J1155" s="15">
        <v>2472</v>
      </c>
      <c r="K1155" s="15">
        <v>10</v>
      </c>
      <c r="L1155" s="15">
        <v>2323.6799999999998</v>
      </c>
      <c r="M1155" s="16">
        <f t="shared" si="90"/>
        <v>232.36799999999999</v>
      </c>
      <c r="N1155" s="15">
        <v>0</v>
      </c>
      <c r="O1155" s="16">
        <f t="shared" si="91"/>
        <v>2472</v>
      </c>
      <c r="P1155" s="15" t="s">
        <v>18</v>
      </c>
      <c r="Q1155" s="15">
        <v>0.06</v>
      </c>
      <c r="R1155" s="16">
        <f t="shared" si="92"/>
        <v>148.32</v>
      </c>
      <c r="S1155" s="15">
        <v>0</v>
      </c>
      <c r="T1155" s="15">
        <v>0</v>
      </c>
      <c r="U1155" s="17">
        <f t="shared" si="93"/>
        <v>148.32</v>
      </c>
      <c r="V1155" s="12" t="s">
        <v>63</v>
      </c>
      <c r="W1155" s="12">
        <v>146</v>
      </c>
    </row>
    <row r="1156" spans="4:23" s="12" customFormat="1" ht="30.75" customHeight="1" thickTop="1" thickBot="1" x14ac:dyDescent="0.35">
      <c r="D1156" s="10"/>
      <c r="G1156" s="13">
        <f t="shared" ref="G1156:G1219" si="94">G1155+1</f>
        <v>1155</v>
      </c>
      <c r="H1156" s="18">
        <v>45985</v>
      </c>
      <c r="I1156" s="15" t="s">
        <v>23</v>
      </c>
      <c r="J1156" s="15">
        <v>38400</v>
      </c>
      <c r="K1156" s="15">
        <v>200</v>
      </c>
      <c r="L1156" s="15">
        <v>36096</v>
      </c>
      <c r="M1156" s="16">
        <f t="shared" si="90"/>
        <v>180.48</v>
      </c>
      <c r="N1156" s="15">
        <v>0</v>
      </c>
      <c r="O1156" s="16">
        <f t="shared" si="91"/>
        <v>38400</v>
      </c>
      <c r="P1156" s="15" t="s">
        <v>18</v>
      </c>
      <c r="Q1156" s="15">
        <v>0.06</v>
      </c>
      <c r="R1156" s="16">
        <f t="shared" si="92"/>
        <v>2304</v>
      </c>
      <c r="S1156" s="15">
        <v>0</v>
      </c>
      <c r="T1156" s="15">
        <v>0</v>
      </c>
      <c r="U1156" s="17">
        <f t="shared" si="93"/>
        <v>2304</v>
      </c>
      <c r="V1156" s="12" t="s">
        <v>63</v>
      </c>
      <c r="W1156" s="12">
        <v>146</v>
      </c>
    </row>
    <row r="1157" spans="4:23" s="12" customFormat="1" ht="30.75" customHeight="1" thickTop="1" thickBot="1" x14ac:dyDescent="0.35">
      <c r="D1157" s="10"/>
      <c r="G1157" s="13">
        <f t="shared" si="94"/>
        <v>1156</v>
      </c>
      <c r="H1157" s="18">
        <v>45985</v>
      </c>
      <c r="I1157" s="15" t="s">
        <v>24</v>
      </c>
      <c r="J1157" s="15">
        <v>13001.6</v>
      </c>
      <c r="K1157" s="15">
        <v>40</v>
      </c>
      <c r="L1157" s="15">
        <v>12221.5</v>
      </c>
      <c r="M1157" s="16">
        <f t="shared" si="90"/>
        <v>305.53750000000002</v>
      </c>
      <c r="N1157" s="15">
        <v>0</v>
      </c>
      <c r="O1157" s="16">
        <f t="shared" si="91"/>
        <v>13001.6</v>
      </c>
      <c r="P1157" s="15" t="s">
        <v>18</v>
      </c>
      <c r="Q1157" s="15">
        <v>0.06</v>
      </c>
      <c r="R1157" s="16">
        <f t="shared" si="92"/>
        <v>780.096</v>
      </c>
      <c r="S1157" s="15">
        <v>0</v>
      </c>
      <c r="T1157" s="15">
        <v>0</v>
      </c>
      <c r="U1157" s="17">
        <f t="shared" si="93"/>
        <v>780.096</v>
      </c>
      <c r="V1157" s="12" t="s">
        <v>63</v>
      </c>
      <c r="W1157" s="12">
        <v>146</v>
      </c>
    </row>
    <row r="1158" spans="4:23" s="12" customFormat="1" ht="30.75" customHeight="1" thickTop="1" thickBot="1" x14ac:dyDescent="0.35">
      <c r="D1158" s="10"/>
      <c r="G1158" s="13">
        <f t="shared" si="94"/>
        <v>1157</v>
      </c>
      <c r="H1158" s="18">
        <v>45985</v>
      </c>
      <c r="I1158" s="15" t="s">
        <v>31</v>
      </c>
      <c r="J1158" s="15">
        <v>3840</v>
      </c>
      <c r="K1158" s="15">
        <v>20</v>
      </c>
      <c r="L1158" s="15">
        <v>3609.6</v>
      </c>
      <c r="M1158" s="16">
        <f t="shared" si="90"/>
        <v>180.48</v>
      </c>
      <c r="N1158" s="15">
        <v>0</v>
      </c>
      <c r="O1158" s="16">
        <f t="shared" si="91"/>
        <v>3840</v>
      </c>
      <c r="P1158" s="15" t="s">
        <v>18</v>
      </c>
      <c r="Q1158" s="15">
        <v>0.06</v>
      </c>
      <c r="R1158" s="16">
        <f t="shared" si="92"/>
        <v>230.39999999999998</v>
      </c>
      <c r="S1158" s="15">
        <v>0</v>
      </c>
      <c r="T1158" s="15">
        <v>0</v>
      </c>
      <c r="U1158" s="17">
        <f t="shared" si="93"/>
        <v>230.39999999999998</v>
      </c>
      <c r="V1158" s="12" t="s">
        <v>63</v>
      </c>
      <c r="W1158" s="12">
        <v>146</v>
      </c>
    </row>
    <row r="1159" spans="4:23" s="12" customFormat="1" ht="30.75" customHeight="1" thickTop="1" thickBot="1" x14ac:dyDescent="0.35">
      <c r="D1159" s="10"/>
      <c r="G1159" s="13">
        <f t="shared" si="94"/>
        <v>1158</v>
      </c>
      <c r="H1159" s="18">
        <v>45985</v>
      </c>
      <c r="I1159" s="15" t="s">
        <v>36</v>
      </c>
      <c r="J1159" s="15">
        <v>650.08000000000004</v>
      </c>
      <c r="K1159" s="15">
        <v>2</v>
      </c>
      <c r="L1159" s="15">
        <v>611.08000000000004</v>
      </c>
      <c r="M1159" s="16">
        <f t="shared" si="90"/>
        <v>305.54000000000002</v>
      </c>
      <c r="N1159" s="15">
        <v>0</v>
      </c>
      <c r="O1159" s="16">
        <f t="shared" si="91"/>
        <v>650.08000000000004</v>
      </c>
      <c r="P1159" s="15" t="s">
        <v>18</v>
      </c>
      <c r="Q1159" s="15">
        <v>0.06</v>
      </c>
      <c r="R1159" s="16">
        <f t="shared" si="92"/>
        <v>39.004800000000003</v>
      </c>
      <c r="S1159" s="15">
        <v>0</v>
      </c>
      <c r="T1159" s="15">
        <v>0</v>
      </c>
      <c r="U1159" s="17">
        <f t="shared" si="93"/>
        <v>39.004800000000003</v>
      </c>
      <c r="V1159" s="12" t="s">
        <v>63</v>
      </c>
      <c r="W1159" s="12">
        <v>146</v>
      </c>
    </row>
    <row r="1160" spans="4:23" s="12" customFormat="1" ht="30.75" customHeight="1" thickTop="1" thickBot="1" x14ac:dyDescent="0.35">
      <c r="D1160" s="10"/>
      <c r="G1160" s="13">
        <f t="shared" si="94"/>
        <v>1159</v>
      </c>
      <c r="H1160" s="18">
        <v>45987</v>
      </c>
      <c r="I1160" s="15" t="s">
        <v>30</v>
      </c>
      <c r="J1160" s="15">
        <v>64522.5</v>
      </c>
      <c r="K1160" s="15">
        <v>210</v>
      </c>
      <c r="L1160" s="15">
        <v>44456</v>
      </c>
      <c r="M1160" s="16">
        <f t="shared" si="90"/>
        <v>211.6952380952381</v>
      </c>
      <c r="N1160" s="15">
        <v>0</v>
      </c>
      <c r="O1160" s="16">
        <f t="shared" si="91"/>
        <v>64522.5</v>
      </c>
      <c r="P1160" s="15" t="s">
        <v>18</v>
      </c>
      <c r="Q1160" s="15">
        <v>0.06</v>
      </c>
      <c r="R1160" s="16">
        <f t="shared" si="92"/>
        <v>3871.35</v>
      </c>
      <c r="S1160" s="15">
        <v>0</v>
      </c>
      <c r="T1160" s="15">
        <v>0</v>
      </c>
      <c r="U1160" s="17">
        <f t="shared" si="93"/>
        <v>3871.35</v>
      </c>
      <c r="V1160" s="12" t="s">
        <v>63</v>
      </c>
      <c r="W1160" s="12">
        <v>147</v>
      </c>
    </row>
    <row r="1161" spans="4:23" s="12" customFormat="1" ht="30.75" customHeight="1" thickTop="1" thickBot="1" x14ac:dyDescent="0.35">
      <c r="D1161" s="10"/>
      <c r="G1161" s="13">
        <f t="shared" si="94"/>
        <v>1160</v>
      </c>
      <c r="H1161" s="18">
        <v>45987</v>
      </c>
      <c r="I1161" s="15" t="s">
        <v>17</v>
      </c>
      <c r="J1161" s="15">
        <v>104465</v>
      </c>
      <c r="K1161" s="15">
        <v>340</v>
      </c>
      <c r="L1161" s="15">
        <v>71976.39</v>
      </c>
      <c r="M1161" s="16">
        <f t="shared" si="90"/>
        <v>211.69526470588235</v>
      </c>
      <c r="N1161" s="15">
        <v>0</v>
      </c>
      <c r="O1161" s="16">
        <f t="shared" si="91"/>
        <v>104465</v>
      </c>
      <c r="P1161" s="15" t="s">
        <v>18</v>
      </c>
      <c r="Q1161" s="15">
        <v>0.06</v>
      </c>
      <c r="R1161" s="16">
        <f t="shared" si="92"/>
        <v>6267.9</v>
      </c>
      <c r="S1161" s="15">
        <v>0</v>
      </c>
      <c r="T1161" s="15">
        <v>0</v>
      </c>
      <c r="U1161" s="17">
        <f t="shared" si="93"/>
        <v>6267.9</v>
      </c>
      <c r="V1161" s="12" t="s">
        <v>63</v>
      </c>
      <c r="W1161" s="12">
        <v>147</v>
      </c>
    </row>
    <row r="1162" spans="4:23" s="12" customFormat="1" ht="30.75" customHeight="1" thickTop="1" thickBot="1" x14ac:dyDescent="0.35">
      <c r="D1162" s="10"/>
      <c r="G1162" s="13">
        <f t="shared" si="94"/>
        <v>1161</v>
      </c>
      <c r="H1162" s="18">
        <v>45987</v>
      </c>
      <c r="I1162" s="36" t="s">
        <v>62</v>
      </c>
      <c r="J1162" s="15">
        <v>10920</v>
      </c>
      <c r="K1162" s="15">
        <v>50</v>
      </c>
      <c r="L1162" s="15">
        <v>9391.2000000000007</v>
      </c>
      <c r="M1162" s="16">
        <f t="shared" si="90"/>
        <v>187.82400000000001</v>
      </c>
      <c r="N1162" s="15">
        <v>0</v>
      </c>
      <c r="O1162" s="16">
        <f t="shared" si="91"/>
        <v>10920</v>
      </c>
      <c r="P1162" s="15" t="s">
        <v>18</v>
      </c>
      <c r="Q1162" s="15">
        <v>0.06</v>
      </c>
      <c r="R1162" s="16">
        <f t="shared" si="92"/>
        <v>655.19999999999993</v>
      </c>
      <c r="S1162" s="15">
        <v>0</v>
      </c>
      <c r="T1162" s="15">
        <v>0</v>
      </c>
      <c r="U1162" s="17">
        <f t="shared" si="93"/>
        <v>655.19999999999993</v>
      </c>
      <c r="V1162" s="12" t="s">
        <v>63</v>
      </c>
      <c r="W1162" s="12">
        <v>147</v>
      </c>
    </row>
    <row r="1163" spans="4:23" s="12" customFormat="1" ht="30.75" customHeight="1" thickTop="1" thickBot="1" x14ac:dyDescent="0.35">
      <c r="D1163" s="10"/>
      <c r="G1163" s="13">
        <f t="shared" si="94"/>
        <v>1162</v>
      </c>
      <c r="H1163" s="18">
        <v>45987</v>
      </c>
      <c r="I1163" s="15" t="s">
        <v>23</v>
      </c>
      <c r="J1163" s="15">
        <v>19200</v>
      </c>
      <c r="K1163" s="15">
        <v>100</v>
      </c>
      <c r="L1163" s="15">
        <v>18048</v>
      </c>
      <c r="M1163" s="16">
        <f t="shared" si="90"/>
        <v>180.48</v>
      </c>
      <c r="N1163" s="15">
        <v>0</v>
      </c>
      <c r="O1163" s="16">
        <f t="shared" si="91"/>
        <v>19200</v>
      </c>
      <c r="P1163" s="15" t="s">
        <v>18</v>
      </c>
      <c r="Q1163" s="15">
        <v>0.06</v>
      </c>
      <c r="R1163" s="16">
        <f t="shared" si="92"/>
        <v>1152</v>
      </c>
      <c r="S1163" s="15">
        <v>0</v>
      </c>
      <c r="T1163" s="15">
        <v>0</v>
      </c>
      <c r="U1163" s="17">
        <f t="shared" si="93"/>
        <v>1152</v>
      </c>
      <c r="V1163" s="12" t="s">
        <v>63</v>
      </c>
      <c r="W1163" s="12">
        <v>147</v>
      </c>
    </row>
    <row r="1164" spans="4:23" s="12" customFormat="1" ht="30.75" customHeight="1" thickTop="1" thickBot="1" x14ac:dyDescent="0.35">
      <c r="D1164" s="10"/>
      <c r="G1164" s="13">
        <f t="shared" si="94"/>
        <v>1163</v>
      </c>
      <c r="H1164" s="18">
        <v>45990</v>
      </c>
      <c r="I1164" s="15" t="s">
        <v>30</v>
      </c>
      <c r="J1164" s="15">
        <v>115218.75</v>
      </c>
      <c r="K1164" s="15">
        <v>375</v>
      </c>
      <c r="L1164" s="15">
        <v>79385.72</v>
      </c>
      <c r="M1164" s="16">
        <f t="shared" si="90"/>
        <v>211.69525333333334</v>
      </c>
      <c r="N1164" s="15">
        <v>0</v>
      </c>
      <c r="O1164" s="16">
        <f t="shared" si="91"/>
        <v>115218.75</v>
      </c>
      <c r="P1164" s="15" t="s">
        <v>18</v>
      </c>
      <c r="Q1164" s="15">
        <v>0.06</v>
      </c>
      <c r="R1164" s="16">
        <f t="shared" si="92"/>
        <v>6913.125</v>
      </c>
      <c r="S1164" s="15">
        <v>0</v>
      </c>
      <c r="T1164" s="15">
        <v>0</v>
      </c>
      <c r="U1164" s="17">
        <f t="shared" si="93"/>
        <v>6913.125</v>
      </c>
      <c r="V1164" s="12" t="s">
        <v>63</v>
      </c>
      <c r="W1164" s="12">
        <v>148</v>
      </c>
    </row>
    <row r="1165" spans="4:23" s="12" customFormat="1" ht="30.75" customHeight="1" thickTop="1" thickBot="1" x14ac:dyDescent="0.35">
      <c r="D1165" s="10"/>
      <c r="G1165" s="13">
        <f t="shared" si="94"/>
        <v>1164</v>
      </c>
      <c r="H1165" s="18">
        <v>45990</v>
      </c>
      <c r="I1165" s="15" t="s">
        <v>17</v>
      </c>
      <c r="J1165" s="15">
        <v>123514.5</v>
      </c>
      <c r="K1165" s="15">
        <v>402</v>
      </c>
      <c r="L1165" s="15">
        <v>85101.49</v>
      </c>
      <c r="M1165" s="16">
        <f t="shared" si="90"/>
        <v>211.69524875621892</v>
      </c>
      <c r="N1165" s="15">
        <v>0</v>
      </c>
      <c r="O1165" s="16">
        <f t="shared" si="91"/>
        <v>123514.5</v>
      </c>
      <c r="P1165" s="15" t="s">
        <v>18</v>
      </c>
      <c r="Q1165" s="15">
        <v>0.06</v>
      </c>
      <c r="R1165" s="16">
        <f t="shared" si="92"/>
        <v>7410.87</v>
      </c>
      <c r="S1165" s="15">
        <v>0</v>
      </c>
      <c r="T1165" s="15">
        <v>0</v>
      </c>
      <c r="U1165" s="17">
        <f t="shared" si="93"/>
        <v>7410.87</v>
      </c>
      <c r="V1165" s="12" t="s">
        <v>63</v>
      </c>
      <c r="W1165" s="12">
        <v>148</v>
      </c>
    </row>
    <row r="1166" spans="4:23" s="12" customFormat="1" ht="30.75" customHeight="1" thickTop="1" thickBot="1" x14ac:dyDescent="0.35">
      <c r="D1166" s="10"/>
      <c r="G1166" s="13">
        <f t="shared" si="94"/>
        <v>1165</v>
      </c>
      <c r="H1166" s="18">
        <v>45990</v>
      </c>
      <c r="I1166" s="36" t="s">
        <v>62</v>
      </c>
      <c r="J1166" s="15">
        <v>2184</v>
      </c>
      <c r="K1166" s="15">
        <v>10</v>
      </c>
      <c r="L1166" s="15">
        <v>1878.24</v>
      </c>
      <c r="M1166" s="16">
        <f t="shared" si="90"/>
        <v>187.82400000000001</v>
      </c>
      <c r="N1166" s="15">
        <v>0</v>
      </c>
      <c r="O1166" s="16">
        <f t="shared" si="91"/>
        <v>2184</v>
      </c>
      <c r="P1166" s="15" t="s">
        <v>18</v>
      </c>
      <c r="Q1166" s="15">
        <v>0.06</v>
      </c>
      <c r="R1166" s="16">
        <f t="shared" si="92"/>
        <v>131.04</v>
      </c>
      <c r="S1166" s="15">
        <v>0</v>
      </c>
      <c r="T1166" s="15">
        <v>0</v>
      </c>
      <c r="U1166" s="17">
        <f t="shared" si="93"/>
        <v>131.04</v>
      </c>
      <c r="V1166" s="12" t="s">
        <v>63</v>
      </c>
      <c r="W1166" s="12">
        <v>148</v>
      </c>
    </row>
    <row r="1167" spans="4:23" s="12" customFormat="1" ht="30.75" customHeight="1" thickTop="1" thickBot="1" x14ac:dyDescent="0.35">
      <c r="D1167" s="10"/>
      <c r="G1167" s="13">
        <f t="shared" si="94"/>
        <v>1166</v>
      </c>
      <c r="H1167" s="18">
        <v>45990</v>
      </c>
      <c r="I1167" s="15" t="s">
        <v>65</v>
      </c>
      <c r="J1167" s="15">
        <v>2600</v>
      </c>
      <c r="K1167" s="15">
        <v>20</v>
      </c>
      <c r="L1167" s="15">
        <v>2444</v>
      </c>
      <c r="M1167" s="16">
        <f t="shared" si="90"/>
        <v>122.2</v>
      </c>
      <c r="N1167" s="15">
        <v>0</v>
      </c>
      <c r="O1167" s="16">
        <f t="shared" si="91"/>
        <v>2600</v>
      </c>
      <c r="P1167" s="15" t="s">
        <v>18</v>
      </c>
      <c r="Q1167" s="15">
        <v>0.06</v>
      </c>
      <c r="R1167" s="16">
        <f t="shared" si="92"/>
        <v>156</v>
      </c>
      <c r="S1167" s="15">
        <v>0</v>
      </c>
      <c r="T1167" s="15">
        <v>0</v>
      </c>
      <c r="U1167" s="17">
        <f t="shared" si="93"/>
        <v>156</v>
      </c>
      <c r="V1167" s="12" t="s">
        <v>63</v>
      </c>
      <c r="W1167" s="12">
        <v>148</v>
      </c>
    </row>
    <row r="1168" spans="4:23" s="12" customFormat="1" ht="30.75" customHeight="1" thickTop="1" thickBot="1" x14ac:dyDescent="0.35">
      <c r="D1168" s="10"/>
      <c r="G1168" s="13">
        <f t="shared" si="94"/>
        <v>1167</v>
      </c>
      <c r="H1168" s="18">
        <v>45990</v>
      </c>
      <c r="I1168" s="36" t="s">
        <v>20</v>
      </c>
      <c r="J1168" s="15">
        <v>936</v>
      </c>
      <c r="K1168" s="15">
        <v>3</v>
      </c>
      <c r="L1168" s="15">
        <v>879.84</v>
      </c>
      <c r="M1168" s="16">
        <f t="shared" si="90"/>
        <v>293.28000000000003</v>
      </c>
      <c r="N1168" s="15">
        <v>0</v>
      </c>
      <c r="O1168" s="16">
        <f t="shared" si="91"/>
        <v>936</v>
      </c>
      <c r="P1168" s="15" t="s">
        <v>18</v>
      </c>
      <c r="Q1168" s="15">
        <v>0.06</v>
      </c>
      <c r="R1168" s="16">
        <f t="shared" si="92"/>
        <v>56.16</v>
      </c>
      <c r="S1168" s="15">
        <v>0</v>
      </c>
      <c r="T1168" s="15">
        <v>0</v>
      </c>
      <c r="U1168" s="17">
        <f t="shared" si="93"/>
        <v>56.16</v>
      </c>
      <c r="V1168" s="12" t="s">
        <v>63</v>
      </c>
      <c r="W1168" s="12">
        <v>148</v>
      </c>
    </row>
    <row r="1169" spans="4:23" s="12" customFormat="1" ht="30.75" customHeight="1" thickTop="1" thickBot="1" x14ac:dyDescent="0.35">
      <c r="D1169" s="10"/>
      <c r="G1169" s="13">
        <f t="shared" si="94"/>
        <v>1168</v>
      </c>
      <c r="H1169" s="18">
        <v>45990</v>
      </c>
      <c r="I1169" s="36" t="s">
        <v>66</v>
      </c>
      <c r="J1169" s="15">
        <v>2472</v>
      </c>
      <c r="K1169" s="15">
        <v>5</v>
      </c>
      <c r="L1169" s="15">
        <v>2323.6799999999998</v>
      </c>
      <c r="M1169" s="16">
        <f t="shared" si="90"/>
        <v>464.73599999999999</v>
      </c>
      <c r="N1169" s="15">
        <v>0</v>
      </c>
      <c r="O1169" s="16">
        <f t="shared" si="91"/>
        <v>2472</v>
      </c>
      <c r="P1169" s="15" t="s">
        <v>18</v>
      </c>
      <c r="Q1169" s="15">
        <v>0.06</v>
      </c>
      <c r="R1169" s="16">
        <f t="shared" si="92"/>
        <v>148.32</v>
      </c>
      <c r="S1169" s="15">
        <v>0</v>
      </c>
      <c r="T1169" s="15">
        <v>0</v>
      </c>
      <c r="U1169" s="17">
        <f t="shared" si="93"/>
        <v>148.32</v>
      </c>
      <c r="V1169" s="12" t="s">
        <v>63</v>
      </c>
      <c r="W1169" s="12">
        <v>148</v>
      </c>
    </row>
    <row r="1170" spans="4:23" s="12" customFormat="1" ht="30.75" customHeight="1" thickTop="1" thickBot="1" x14ac:dyDescent="0.35">
      <c r="D1170" s="10"/>
      <c r="G1170" s="13">
        <f t="shared" si="94"/>
        <v>1169</v>
      </c>
      <c r="H1170" s="18">
        <v>45990</v>
      </c>
      <c r="I1170" s="15" t="s">
        <v>23</v>
      </c>
      <c r="J1170" s="15">
        <v>38400</v>
      </c>
      <c r="K1170" s="15">
        <v>200</v>
      </c>
      <c r="L1170" s="15">
        <v>36096</v>
      </c>
      <c r="M1170" s="16">
        <f t="shared" si="90"/>
        <v>180.48</v>
      </c>
      <c r="N1170" s="15">
        <v>0</v>
      </c>
      <c r="O1170" s="16">
        <f t="shared" si="91"/>
        <v>38400</v>
      </c>
      <c r="P1170" s="15" t="s">
        <v>18</v>
      </c>
      <c r="Q1170" s="15">
        <v>0.06</v>
      </c>
      <c r="R1170" s="16">
        <f t="shared" si="92"/>
        <v>2304</v>
      </c>
      <c r="S1170" s="15">
        <v>0</v>
      </c>
      <c r="T1170" s="15">
        <v>0</v>
      </c>
      <c r="U1170" s="17">
        <f t="shared" si="93"/>
        <v>2304</v>
      </c>
      <c r="V1170" s="12" t="s">
        <v>63</v>
      </c>
      <c r="W1170" s="12">
        <v>148</v>
      </c>
    </row>
    <row r="1171" spans="4:23" s="12" customFormat="1" ht="30.75" customHeight="1" thickTop="1" thickBot="1" x14ac:dyDescent="0.35">
      <c r="D1171" s="10"/>
      <c r="G1171" s="13">
        <f t="shared" si="94"/>
        <v>1170</v>
      </c>
      <c r="H1171" s="18">
        <v>45990</v>
      </c>
      <c r="I1171" s="15" t="s">
        <v>24</v>
      </c>
      <c r="J1171" s="15">
        <v>16252</v>
      </c>
      <c r="K1171" s="15">
        <v>50</v>
      </c>
      <c r="L1171" s="15">
        <v>15276.88</v>
      </c>
      <c r="M1171" s="16">
        <f t="shared" si="90"/>
        <v>305.5376</v>
      </c>
      <c r="N1171" s="15">
        <v>0</v>
      </c>
      <c r="O1171" s="16">
        <f t="shared" si="91"/>
        <v>16252</v>
      </c>
      <c r="P1171" s="15" t="s">
        <v>18</v>
      </c>
      <c r="Q1171" s="15">
        <v>0.06</v>
      </c>
      <c r="R1171" s="16">
        <f t="shared" si="92"/>
        <v>975.12</v>
      </c>
      <c r="S1171" s="15">
        <v>0</v>
      </c>
      <c r="T1171" s="15">
        <v>0</v>
      </c>
      <c r="U1171" s="17">
        <f t="shared" si="93"/>
        <v>975.12</v>
      </c>
      <c r="V1171" s="12" t="s">
        <v>63</v>
      </c>
      <c r="W1171" s="12">
        <v>148</v>
      </c>
    </row>
    <row r="1172" spans="4:23" s="12" customFormat="1" ht="30.75" customHeight="1" thickTop="1" thickBot="1" x14ac:dyDescent="0.35">
      <c r="D1172" s="10"/>
      <c r="G1172" s="13">
        <f t="shared" si="94"/>
        <v>1171</v>
      </c>
      <c r="H1172" s="18">
        <v>45990</v>
      </c>
      <c r="I1172" s="15" t="s">
        <v>31</v>
      </c>
      <c r="J1172" s="15">
        <v>8640</v>
      </c>
      <c r="K1172" s="15">
        <v>45</v>
      </c>
      <c r="L1172" s="15">
        <v>8121.6</v>
      </c>
      <c r="M1172" s="16">
        <f t="shared" si="90"/>
        <v>180.48000000000002</v>
      </c>
      <c r="N1172" s="15">
        <v>0</v>
      </c>
      <c r="O1172" s="16">
        <f t="shared" si="91"/>
        <v>8640</v>
      </c>
      <c r="P1172" s="15" t="s">
        <v>18</v>
      </c>
      <c r="Q1172" s="15">
        <v>0.06</v>
      </c>
      <c r="R1172" s="16">
        <f t="shared" si="92"/>
        <v>518.4</v>
      </c>
      <c r="S1172" s="15">
        <v>0</v>
      </c>
      <c r="T1172" s="15">
        <v>0</v>
      </c>
      <c r="U1172" s="17">
        <f t="shared" si="93"/>
        <v>518.4</v>
      </c>
      <c r="V1172" s="12" t="s">
        <v>63</v>
      </c>
      <c r="W1172" s="12">
        <v>148</v>
      </c>
    </row>
    <row r="1173" spans="4:23" s="12" customFormat="1" ht="30.75" customHeight="1" thickTop="1" thickBot="1" x14ac:dyDescent="0.35">
      <c r="D1173" s="10"/>
      <c r="G1173" s="13">
        <f t="shared" si="94"/>
        <v>1172</v>
      </c>
      <c r="H1173" s="18">
        <v>45990</v>
      </c>
      <c r="I1173" s="15" t="s">
        <v>36</v>
      </c>
      <c r="J1173" s="15">
        <v>650.08000000000004</v>
      </c>
      <c r="K1173" s="15">
        <v>2</v>
      </c>
      <c r="L1173" s="15">
        <v>611.08000000000004</v>
      </c>
      <c r="M1173" s="16">
        <f t="shared" si="90"/>
        <v>305.54000000000002</v>
      </c>
      <c r="N1173" s="15">
        <v>0</v>
      </c>
      <c r="O1173" s="16">
        <f t="shared" si="91"/>
        <v>650.08000000000004</v>
      </c>
      <c r="P1173" s="15" t="s">
        <v>18</v>
      </c>
      <c r="Q1173" s="15">
        <v>0.06</v>
      </c>
      <c r="R1173" s="16">
        <f t="shared" si="92"/>
        <v>39.004800000000003</v>
      </c>
      <c r="S1173" s="15">
        <v>0</v>
      </c>
      <c r="T1173" s="15">
        <v>0</v>
      </c>
      <c r="U1173" s="17">
        <f t="shared" si="93"/>
        <v>39.004800000000003</v>
      </c>
      <c r="V1173" s="12" t="s">
        <v>63</v>
      </c>
      <c r="W1173" s="12">
        <v>148</v>
      </c>
    </row>
    <row r="1174" spans="4:23" s="12" customFormat="1" ht="30.75" customHeight="1" thickTop="1" thickBot="1" x14ac:dyDescent="0.35">
      <c r="D1174" s="10"/>
      <c r="G1174" s="13">
        <f t="shared" si="94"/>
        <v>1173</v>
      </c>
      <c r="H1174" s="18">
        <v>45992</v>
      </c>
      <c r="I1174" s="15" t="s">
        <v>30</v>
      </c>
      <c r="J1174" s="15">
        <v>99856.25</v>
      </c>
      <c r="K1174" s="15">
        <v>375</v>
      </c>
      <c r="L1174" s="15">
        <v>68800.960000000006</v>
      </c>
      <c r="M1174" s="16">
        <f t="shared" si="90"/>
        <v>183.46922666666669</v>
      </c>
      <c r="N1174" s="15">
        <v>0</v>
      </c>
      <c r="O1174" s="16">
        <f t="shared" si="91"/>
        <v>99856.25</v>
      </c>
      <c r="P1174" s="15" t="s">
        <v>18</v>
      </c>
      <c r="Q1174" s="15">
        <v>0.06</v>
      </c>
      <c r="R1174" s="16">
        <f t="shared" si="92"/>
        <v>5991.375</v>
      </c>
      <c r="S1174" s="15">
        <v>0</v>
      </c>
      <c r="T1174" s="15">
        <v>0</v>
      </c>
      <c r="U1174" s="17">
        <f t="shared" si="93"/>
        <v>5991.375</v>
      </c>
      <c r="V1174" s="12" t="s">
        <v>63</v>
      </c>
      <c r="W1174" s="12">
        <v>149</v>
      </c>
    </row>
    <row r="1175" spans="4:23" s="12" customFormat="1" ht="30.75" customHeight="1" thickTop="1" thickBot="1" x14ac:dyDescent="0.35">
      <c r="D1175" s="10"/>
      <c r="G1175" s="13">
        <f t="shared" si="94"/>
        <v>1174</v>
      </c>
      <c r="H1175" s="18">
        <v>45992</v>
      </c>
      <c r="I1175" s="15" t="s">
        <v>17</v>
      </c>
      <c r="J1175" s="15">
        <v>122900</v>
      </c>
      <c r="K1175" s="15">
        <v>400</v>
      </c>
      <c r="L1175" s="15">
        <v>84678.1</v>
      </c>
      <c r="M1175" s="16">
        <f t="shared" si="90"/>
        <v>211.69525000000002</v>
      </c>
      <c r="N1175" s="15">
        <v>0</v>
      </c>
      <c r="O1175" s="16">
        <f t="shared" si="91"/>
        <v>122900</v>
      </c>
      <c r="P1175" s="15" t="s">
        <v>18</v>
      </c>
      <c r="Q1175" s="15">
        <v>0.06</v>
      </c>
      <c r="R1175" s="16">
        <f t="shared" si="92"/>
        <v>7374</v>
      </c>
      <c r="S1175" s="15">
        <v>0</v>
      </c>
      <c r="T1175" s="15">
        <v>0</v>
      </c>
      <c r="U1175" s="17">
        <f t="shared" si="93"/>
        <v>7374</v>
      </c>
      <c r="V1175" s="12" t="s">
        <v>63</v>
      </c>
      <c r="W1175" s="12">
        <v>149</v>
      </c>
    </row>
    <row r="1176" spans="4:23" s="12" customFormat="1" ht="30.75" customHeight="1" thickTop="1" thickBot="1" x14ac:dyDescent="0.35">
      <c r="D1176" s="10"/>
      <c r="G1176" s="13">
        <f t="shared" si="94"/>
        <v>1175</v>
      </c>
      <c r="H1176" s="18">
        <v>45992</v>
      </c>
      <c r="I1176" s="15" t="s">
        <v>65</v>
      </c>
      <c r="J1176" s="15">
        <v>2990</v>
      </c>
      <c r="K1176" s="15">
        <v>23</v>
      </c>
      <c r="L1176" s="15">
        <v>2810.6</v>
      </c>
      <c r="M1176" s="16">
        <f t="shared" si="90"/>
        <v>122.2</v>
      </c>
      <c r="N1176" s="15">
        <v>0</v>
      </c>
      <c r="O1176" s="16">
        <f t="shared" si="91"/>
        <v>2990</v>
      </c>
      <c r="P1176" s="15" t="s">
        <v>18</v>
      </c>
      <c r="Q1176" s="15">
        <v>0.06</v>
      </c>
      <c r="R1176" s="16">
        <f t="shared" si="92"/>
        <v>179.4</v>
      </c>
      <c r="S1176" s="15">
        <v>0</v>
      </c>
      <c r="T1176" s="15">
        <v>0</v>
      </c>
      <c r="U1176" s="17">
        <f t="shared" si="93"/>
        <v>179.4</v>
      </c>
      <c r="V1176" s="12" t="s">
        <v>63</v>
      </c>
      <c r="W1176" s="12">
        <v>149</v>
      </c>
    </row>
    <row r="1177" spans="4:23" s="12" customFormat="1" ht="30.75" customHeight="1" thickTop="1" thickBot="1" x14ac:dyDescent="0.35">
      <c r="D1177" s="10"/>
      <c r="G1177" s="13">
        <f t="shared" si="94"/>
        <v>1176</v>
      </c>
      <c r="H1177" s="18">
        <v>45992</v>
      </c>
      <c r="I1177" s="36" t="s">
        <v>20</v>
      </c>
      <c r="J1177" s="15">
        <v>624</v>
      </c>
      <c r="K1177" s="15">
        <v>2</v>
      </c>
      <c r="L1177" s="15">
        <v>586.55999999999995</v>
      </c>
      <c r="M1177" s="16">
        <f t="shared" si="90"/>
        <v>293.27999999999997</v>
      </c>
      <c r="N1177" s="15">
        <v>0</v>
      </c>
      <c r="O1177" s="16">
        <f t="shared" si="91"/>
        <v>624</v>
      </c>
      <c r="P1177" s="15" t="s">
        <v>18</v>
      </c>
      <c r="Q1177" s="15">
        <v>0.06</v>
      </c>
      <c r="R1177" s="16">
        <f t="shared" si="92"/>
        <v>37.44</v>
      </c>
      <c r="S1177" s="15">
        <v>0</v>
      </c>
      <c r="T1177" s="15">
        <v>0</v>
      </c>
      <c r="U1177" s="17">
        <f t="shared" si="93"/>
        <v>37.44</v>
      </c>
      <c r="V1177" s="12" t="s">
        <v>63</v>
      </c>
      <c r="W1177" s="12">
        <v>149</v>
      </c>
    </row>
    <row r="1178" spans="4:23" s="12" customFormat="1" ht="30.75" customHeight="1" thickTop="1" thickBot="1" x14ac:dyDescent="0.35">
      <c r="D1178" s="10"/>
      <c r="G1178" s="13">
        <f t="shared" si="94"/>
        <v>1177</v>
      </c>
      <c r="H1178" s="18">
        <v>45992</v>
      </c>
      <c r="I1178" s="15" t="s">
        <v>23</v>
      </c>
      <c r="J1178" s="15">
        <v>38400</v>
      </c>
      <c r="K1178" s="15">
        <v>200</v>
      </c>
      <c r="L1178" s="15">
        <v>36096</v>
      </c>
      <c r="M1178" s="16">
        <f t="shared" si="90"/>
        <v>180.48</v>
      </c>
      <c r="N1178" s="15">
        <v>0</v>
      </c>
      <c r="O1178" s="16">
        <f t="shared" si="91"/>
        <v>38400</v>
      </c>
      <c r="P1178" s="15" t="s">
        <v>18</v>
      </c>
      <c r="Q1178" s="15">
        <v>0.06</v>
      </c>
      <c r="R1178" s="16">
        <f t="shared" si="92"/>
        <v>2304</v>
      </c>
      <c r="S1178" s="15">
        <v>0</v>
      </c>
      <c r="T1178" s="15">
        <v>0</v>
      </c>
      <c r="U1178" s="17">
        <f t="shared" si="93"/>
        <v>2304</v>
      </c>
      <c r="V1178" s="12" t="s">
        <v>63</v>
      </c>
      <c r="W1178" s="12">
        <v>149</v>
      </c>
    </row>
    <row r="1179" spans="4:23" s="12" customFormat="1" ht="30.75" customHeight="1" thickTop="1" thickBot="1" x14ac:dyDescent="0.35">
      <c r="D1179" s="10"/>
      <c r="G1179" s="13">
        <f t="shared" si="94"/>
        <v>1178</v>
      </c>
      <c r="H1179" s="18">
        <v>45992</v>
      </c>
      <c r="I1179" s="15" t="s">
        <v>31</v>
      </c>
      <c r="J1179" s="15">
        <v>5760</v>
      </c>
      <c r="K1179" s="15">
        <v>30</v>
      </c>
      <c r="L1179" s="15">
        <v>5414.4</v>
      </c>
      <c r="M1179" s="16">
        <f t="shared" si="90"/>
        <v>180.48</v>
      </c>
      <c r="N1179" s="15">
        <v>0</v>
      </c>
      <c r="O1179" s="16">
        <f t="shared" si="91"/>
        <v>5760</v>
      </c>
      <c r="P1179" s="15" t="s">
        <v>18</v>
      </c>
      <c r="Q1179" s="15">
        <v>0.06</v>
      </c>
      <c r="R1179" s="16">
        <f t="shared" si="92"/>
        <v>345.59999999999997</v>
      </c>
      <c r="S1179" s="15">
        <v>0</v>
      </c>
      <c r="T1179" s="15">
        <v>0</v>
      </c>
      <c r="U1179" s="17">
        <f t="shared" si="93"/>
        <v>345.59999999999997</v>
      </c>
      <c r="V1179" s="12" t="s">
        <v>63</v>
      </c>
      <c r="W1179" s="12">
        <v>149</v>
      </c>
    </row>
    <row r="1180" spans="4:23" s="12" customFormat="1" ht="30.75" customHeight="1" thickTop="1" thickBot="1" x14ac:dyDescent="0.35">
      <c r="D1180" s="10"/>
      <c r="G1180" s="13">
        <f t="shared" si="94"/>
        <v>1179</v>
      </c>
      <c r="H1180" s="18">
        <v>45992</v>
      </c>
      <c r="I1180" s="15" t="s">
        <v>36</v>
      </c>
      <c r="J1180" s="15">
        <v>650.08000000000004</v>
      </c>
      <c r="K1180" s="15">
        <v>2</v>
      </c>
      <c r="L1180" s="15">
        <v>611.08000000000004</v>
      </c>
      <c r="M1180" s="16">
        <f t="shared" si="90"/>
        <v>305.54000000000002</v>
      </c>
      <c r="N1180" s="15">
        <v>0</v>
      </c>
      <c r="O1180" s="16">
        <f t="shared" si="91"/>
        <v>650.08000000000004</v>
      </c>
      <c r="P1180" s="15" t="s">
        <v>18</v>
      </c>
      <c r="Q1180" s="15">
        <v>0.06</v>
      </c>
      <c r="R1180" s="16">
        <f t="shared" si="92"/>
        <v>39.004800000000003</v>
      </c>
      <c r="S1180" s="15">
        <v>0</v>
      </c>
      <c r="T1180" s="15">
        <v>0</v>
      </c>
      <c r="U1180" s="17">
        <f t="shared" si="93"/>
        <v>39.004800000000003</v>
      </c>
      <c r="V1180" s="12" t="s">
        <v>63</v>
      </c>
      <c r="W1180" s="12">
        <v>149</v>
      </c>
    </row>
    <row r="1181" spans="4:23" s="12" customFormat="1" ht="30.75" customHeight="1" thickTop="1" thickBot="1" x14ac:dyDescent="0.35">
      <c r="D1181" s="10"/>
      <c r="G1181" s="13">
        <f t="shared" si="94"/>
        <v>1180</v>
      </c>
      <c r="H1181" s="18">
        <v>45994</v>
      </c>
      <c r="I1181" s="15" t="s">
        <v>30</v>
      </c>
      <c r="J1181" s="15">
        <v>46087.5</v>
      </c>
      <c r="K1181" s="15">
        <v>150</v>
      </c>
      <c r="L1181" s="15">
        <v>31754.29</v>
      </c>
      <c r="M1181" s="16">
        <f t="shared" si="90"/>
        <v>211.69526666666667</v>
      </c>
      <c r="N1181" s="15">
        <v>0</v>
      </c>
      <c r="O1181" s="16">
        <f t="shared" si="91"/>
        <v>46087.5</v>
      </c>
      <c r="P1181" s="15" t="s">
        <v>18</v>
      </c>
      <c r="Q1181" s="15">
        <v>0.06</v>
      </c>
      <c r="R1181" s="16">
        <f t="shared" si="92"/>
        <v>2765.25</v>
      </c>
      <c r="S1181" s="15">
        <v>0</v>
      </c>
      <c r="T1181" s="15">
        <v>0</v>
      </c>
      <c r="U1181" s="17">
        <f t="shared" si="93"/>
        <v>2765.25</v>
      </c>
      <c r="V1181" s="12" t="s">
        <v>63</v>
      </c>
      <c r="W1181" s="12">
        <v>150</v>
      </c>
    </row>
    <row r="1182" spans="4:23" s="12" customFormat="1" ht="30.75" customHeight="1" thickTop="1" thickBot="1" x14ac:dyDescent="0.35">
      <c r="D1182" s="10"/>
      <c r="G1182" s="13">
        <f t="shared" si="94"/>
        <v>1181</v>
      </c>
      <c r="H1182" s="18">
        <v>45994</v>
      </c>
      <c r="I1182" s="15" t="s">
        <v>17</v>
      </c>
      <c r="J1182" s="15">
        <v>115218.75</v>
      </c>
      <c r="K1182" s="15">
        <v>375</v>
      </c>
      <c r="L1182" s="15">
        <v>79385.72</v>
      </c>
      <c r="M1182" s="16">
        <f t="shared" si="90"/>
        <v>211.69525333333334</v>
      </c>
      <c r="N1182" s="15">
        <v>0</v>
      </c>
      <c r="O1182" s="16">
        <f t="shared" si="91"/>
        <v>115218.75</v>
      </c>
      <c r="P1182" s="15" t="s">
        <v>18</v>
      </c>
      <c r="Q1182" s="15">
        <v>0.06</v>
      </c>
      <c r="R1182" s="16">
        <f t="shared" si="92"/>
        <v>6913.125</v>
      </c>
      <c r="S1182" s="15">
        <v>0</v>
      </c>
      <c r="T1182" s="15">
        <v>0</v>
      </c>
      <c r="U1182" s="17">
        <f t="shared" si="93"/>
        <v>6913.125</v>
      </c>
      <c r="V1182" s="12" t="s">
        <v>63</v>
      </c>
      <c r="W1182" s="12">
        <v>150</v>
      </c>
    </row>
    <row r="1183" spans="4:23" s="12" customFormat="1" ht="30.75" customHeight="1" thickTop="1" thickBot="1" x14ac:dyDescent="0.35">
      <c r="D1183" s="10"/>
      <c r="G1183" s="13">
        <f t="shared" si="94"/>
        <v>1182</v>
      </c>
      <c r="H1183" s="18">
        <v>45994</v>
      </c>
      <c r="I1183" s="36" t="s">
        <v>62</v>
      </c>
      <c r="J1183" s="15">
        <v>10920</v>
      </c>
      <c r="K1183" s="15">
        <v>50</v>
      </c>
      <c r="L1183" s="15">
        <v>9391.2000000000007</v>
      </c>
      <c r="M1183" s="16">
        <f t="shared" si="90"/>
        <v>187.82400000000001</v>
      </c>
      <c r="N1183" s="15">
        <v>0</v>
      </c>
      <c r="O1183" s="16">
        <f t="shared" si="91"/>
        <v>10920</v>
      </c>
      <c r="P1183" s="15" t="s">
        <v>18</v>
      </c>
      <c r="Q1183" s="15">
        <v>0.06</v>
      </c>
      <c r="R1183" s="16">
        <f t="shared" si="92"/>
        <v>655.19999999999993</v>
      </c>
      <c r="S1183" s="15">
        <v>0</v>
      </c>
      <c r="T1183" s="15">
        <v>0</v>
      </c>
      <c r="U1183" s="17">
        <f t="shared" si="93"/>
        <v>655.19999999999993</v>
      </c>
      <c r="V1183" s="12" t="s">
        <v>63</v>
      </c>
      <c r="W1183" s="12">
        <v>150</v>
      </c>
    </row>
    <row r="1184" spans="4:23" s="12" customFormat="1" ht="30.75" customHeight="1" thickTop="1" thickBot="1" x14ac:dyDescent="0.35">
      <c r="D1184" s="10"/>
      <c r="G1184" s="13">
        <f t="shared" si="94"/>
        <v>1183</v>
      </c>
      <c r="H1184" s="18">
        <v>45994</v>
      </c>
      <c r="I1184" s="15" t="s">
        <v>65</v>
      </c>
      <c r="J1184" s="15">
        <v>7410</v>
      </c>
      <c r="K1184" s="15">
        <v>57</v>
      </c>
      <c r="L1184" s="15">
        <v>6965.4</v>
      </c>
      <c r="M1184" s="16">
        <f t="shared" si="90"/>
        <v>122.19999999999999</v>
      </c>
      <c r="N1184" s="15">
        <v>0</v>
      </c>
      <c r="O1184" s="16">
        <f t="shared" si="91"/>
        <v>7410</v>
      </c>
      <c r="P1184" s="15" t="s">
        <v>18</v>
      </c>
      <c r="Q1184" s="15">
        <v>0.06</v>
      </c>
      <c r="R1184" s="16">
        <f t="shared" si="92"/>
        <v>444.59999999999997</v>
      </c>
      <c r="S1184" s="15">
        <v>0</v>
      </c>
      <c r="T1184" s="15">
        <v>0</v>
      </c>
      <c r="U1184" s="17">
        <f t="shared" si="93"/>
        <v>444.59999999999997</v>
      </c>
      <c r="V1184" s="12" t="s">
        <v>63</v>
      </c>
      <c r="W1184" s="12">
        <v>150</v>
      </c>
    </row>
    <row r="1185" spans="4:23" s="12" customFormat="1" ht="30.75" customHeight="1" thickTop="1" thickBot="1" x14ac:dyDescent="0.35">
      <c r="D1185" s="10"/>
      <c r="G1185" s="13">
        <f t="shared" si="94"/>
        <v>1184</v>
      </c>
      <c r="H1185" s="18">
        <v>45994</v>
      </c>
      <c r="I1185" s="36" t="s">
        <v>66</v>
      </c>
      <c r="J1185" s="15">
        <v>1977.6</v>
      </c>
      <c r="K1185" s="15">
        <v>4</v>
      </c>
      <c r="L1185" s="15">
        <v>1858.94</v>
      </c>
      <c r="M1185" s="16">
        <f t="shared" si="90"/>
        <v>464.73500000000001</v>
      </c>
      <c r="N1185" s="15">
        <v>0</v>
      </c>
      <c r="O1185" s="16">
        <f t="shared" si="91"/>
        <v>1977.6</v>
      </c>
      <c r="P1185" s="15" t="s">
        <v>18</v>
      </c>
      <c r="Q1185" s="15">
        <v>0.06</v>
      </c>
      <c r="R1185" s="16">
        <f t="shared" si="92"/>
        <v>118.65599999999999</v>
      </c>
      <c r="S1185" s="15">
        <v>0</v>
      </c>
      <c r="T1185" s="15">
        <v>0</v>
      </c>
      <c r="U1185" s="17">
        <f t="shared" si="93"/>
        <v>118.65599999999999</v>
      </c>
      <c r="V1185" s="12" t="s">
        <v>63</v>
      </c>
      <c r="W1185" s="12">
        <v>150</v>
      </c>
    </row>
    <row r="1186" spans="4:23" s="12" customFormat="1" ht="30.75" customHeight="1" thickTop="1" thickBot="1" x14ac:dyDescent="0.35">
      <c r="D1186" s="10"/>
      <c r="G1186" s="13">
        <f t="shared" si="94"/>
        <v>1185</v>
      </c>
      <c r="H1186" s="18">
        <v>45994</v>
      </c>
      <c r="I1186" s="15" t="s">
        <v>23</v>
      </c>
      <c r="J1186" s="15">
        <v>38400</v>
      </c>
      <c r="K1186" s="15">
        <v>200</v>
      </c>
      <c r="L1186" s="15">
        <v>36096</v>
      </c>
      <c r="M1186" s="16">
        <f t="shared" si="90"/>
        <v>180.48</v>
      </c>
      <c r="N1186" s="15">
        <v>0</v>
      </c>
      <c r="O1186" s="16">
        <f t="shared" si="91"/>
        <v>38400</v>
      </c>
      <c r="P1186" s="15" t="s">
        <v>18</v>
      </c>
      <c r="Q1186" s="15">
        <v>0.06</v>
      </c>
      <c r="R1186" s="16">
        <f t="shared" si="92"/>
        <v>2304</v>
      </c>
      <c r="S1186" s="15">
        <v>0</v>
      </c>
      <c r="T1186" s="15">
        <v>0</v>
      </c>
      <c r="U1186" s="17">
        <f t="shared" si="93"/>
        <v>2304</v>
      </c>
      <c r="V1186" s="12" t="s">
        <v>63</v>
      </c>
      <c r="W1186" s="12">
        <v>150</v>
      </c>
    </row>
    <row r="1187" spans="4:23" s="12" customFormat="1" ht="30.75" customHeight="1" thickTop="1" thickBot="1" x14ac:dyDescent="0.35">
      <c r="D1187" s="10"/>
      <c r="G1187" s="13">
        <f t="shared" si="94"/>
        <v>1186</v>
      </c>
      <c r="H1187" s="18">
        <v>45994</v>
      </c>
      <c r="I1187" s="15" t="s">
        <v>24</v>
      </c>
      <c r="J1187" s="15">
        <v>13001.6</v>
      </c>
      <c r="K1187" s="15">
        <v>40</v>
      </c>
      <c r="L1187" s="15">
        <v>12221.5</v>
      </c>
      <c r="M1187" s="16">
        <f t="shared" si="90"/>
        <v>305.53750000000002</v>
      </c>
      <c r="N1187" s="15">
        <v>0</v>
      </c>
      <c r="O1187" s="16">
        <f t="shared" si="91"/>
        <v>13001.6</v>
      </c>
      <c r="P1187" s="15" t="s">
        <v>18</v>
      </c>
      <c r="Q1187" s="15">
        <v>0.06</v>
      </c>
      <c r="R1187" s="16">
        <f t="shared" si="92"/>
        <v>780.096</v>
      </c>
      <c r="S1187" s="15">
        <v>0</v>
      </c>
      <c r="T1187" s="15">
        <v>0</v>
      </c>
      <c r="U1187" s="17">
        <f t="shared" si="93"/>
        <v>780.096</v>
      </c>
      <c r="V1187" s="12" t="s">
        <v>63</v>
      </c>
      <c r="W1187" s="12">
        <v>150</v>
      </c>
    </row>
    <row r="1188" spans="4:23" s="12" customFormat="1" ht="30.75" customHeight="1" thickTop="1" thickBot="1" x14ac:dyDescent="0.35">
      <c r="D1188" s="10"/>
      <c r="G1188" s="13">
        <f t="shared" si="94"/>
        <v>1187</v>
      </c>
      <c r="H1188" s="18">
        <v>45994</v>
      </c>
      <c r="I1188" s="15" t="s">
        <v>31</v>
      </c>
      <c r="J1188" s="15">
        <v>5760</v>
      </c>
      <c r="K1188" s="15">
        <v>30</v>
      </c>
      <c r="L1188" s="15">
        <v>5414.4</v>
      </c>
      <c r="M1188" s="16">
        <f t="shared" si="90"/>
        <v>180.48</v>
      </c>
      <c r="N1188" s="15">
        <v>0</v>
      </c>
      <c r="O1188" s="16">
        <f t="shared" si="91"/>
        <v>5760</v>
      </c>
      <c r="P1188" s="15" t="s">
        <v>18</v>
      </c>
      <c r="Q1188" s="15">
        <v>0.06</v>
      </c>
      <c r="R1188" s="16">
        <f t="shared" si="92"/>
        <v>345.59999999999997</v>
      </c>
      <c r="S1188" s="15">
        <v>0</v>
      </c>
      <c r="T1188" s="15">
        <v>0</v>
      </c>
      <c r="U1188" s="17">
        <f t="shared" si="93"/>
        <v>345.59999999999997</v>
      </c>
      <c r="V1188" s="12" t="s">
        <v>63</v>
      </c>
      <c r="W1188" s="12">
        <v>150</v>
      </c>
    </row>
    <row r="1189" spans="4:23" s="12" customFormat="1" ht="30.75" customHeight="1" thickTop="1" thickBot="1" x14ac:dyDescent="0.35">
      <c r="D1189" s="10"/>
      <c r="G1189" s="13">
        <f t="shared" si="94"/>
        <v>1188</v>
      </c>
      <c r="H1189" s="18">
        <v>45994</v>
      </c>
      <c r="I1189" s="15" t="s">
        <v>36</v>
      </c>
      <c r="J1189" s="15">
        <v>650.08000000000004</v>
      </c>
      <c r="K1189" s="15">
        <v>2</v>
      </c>
      <c r="L1189" s="15">
        <v>611.08000000000004</v>
      </c>
      <c r="M1189" s="16">
        <f t="shared" si="90"/>
        <v>305.54000000000002</v>
      </c>
      <c r="N1189" s="15">
        <v>0</v>
      </c>
      <c r="O1189" s="16">
        <f t="shared" si="91"/>
        <v>650.08000000000004</v>
      </c>
      <c r="P1189" s="15" t="s">
        <v>18</v>
      </c>
      <c r="Q1189" s="15">
        <v>0.06</v>
      </c>
      <c r="R1189" s="16">
        <f t="shared" si="92"/>
        <v>39.004800000000003</v>
      </c>
      <c r="S1189" s="15">
        <v>0</v>
      </c>
      <c r="T1189" s="15">
        <v>0</v>
      </c>
      <c r="U1189" s="17">
        <f t="shared" si="93"/>
        <v>39.004800000000003</v>
      </c>
      <c r="V1189" s="12" t="s">
        <v>63</v>
      </c>
      <c r="W1189" s="12">
        <v>150</v>
      </c>
    </row>
    <row r="1190" spans="4:23" s="12" customFormat="1" ht="30.75" customHeight="1" thickTop="1" thickBot="1" x14ac:dyDescent="0.35">
      <c r="D1190" s="10"/>
      <c r="G1190" s="13">
        <f t="shared" si="94"/>
        <v>1189</v>
      </c>
      <c r="H1190" s="18">
        <v>45997</v>
      </c>
      <c r="I1190" s="15" t="s">
        <v>41</v>
      </c>
      <c r="J1190" s="15">
        <v>22866.36</v>
      </c>
      <c r="K1190" s="15">
        <v>170</v>
      </c>
      <c r="L1190" s="15">
        <v>18761.849999999999</v>
      </c>
      <c r="M1190" s="16">
        <f t="shared" si="90"/>
        <v>110.36382352941176</v>
      </c>
      <c r="N1190" s="15">
        <v>0</v>
      </c>
      <c r="O1190" s="16">
        <f t="shared" si="91"/>
        <v>22866.36</v>
      </c>
      <c r="P1190" s="15" t="s">
        <v>26</v>
      </c>
      <c r="Q1190" s="15">
        <v>0.02</v>
      </c>
      <c r="R1190" s="16">
        <f t="shared" si="92"/>
        <v>457.3272</v>
      </c>
      <c r="S1190" s="15">
        <v>0</v>
      </c>
      <c r="T1190" s="15">
        <v>0</v>
      </c>
      <c r="U1190" s="17">
        <f t="shared" si="93"/>
        <v>457.3272</v>
      </c>
      <c r="V1190" s="12" t="s">
        <v>63</v>
      </c>
      <c r="W1190" s="12">
        <v>151</v>
      </c>
    </row>
    <row r="1191" spans="4:23" s="12" customFormat="1" ht="30.75" customHeight="1" thickTop="1" thickBot="1" x14ac:dyDescent="0.35">
      <c r="D1191" s="10"/>
      <c r="G1191" s="13">
        <f t="shared" si="94"/>
        <v>1190</v>
      </c>
      <c r="H1191" s="18">
        <v>45997</v>
      </c>
      <c r="I1191" s="15" t="s">
        <v>30</v>
      </c>
      <c r="J1191" s="15">
        <v>92175</v>
      </c>
      <c r="K1191" s="15">
        <v>300</v>
      </c>
      <c r="L1191" s="15">
        <v>63508.58</v>
      </c>
      <c r="M1191" s="16">
        <f t="shared" si="90"/>
        <v>211.69526666666667</v>
      </c>
      <c r="N1191" s="15">
        <v>0</v>
      </c>
      <c r="O1191" s="16">
        <f t="shared" si="91"/>
        <v>92175</v>
      </c>
      <c r="P1191" s="15" t="s">
        <v>18</v>
      </c>
      <c r="Q1191" s="15">
        <v>0.06</v>
      </c>
      <c r="R1191" s="16">
        <f t="shared" si="92"/>
        <v>5530.5</v>
      </c>
      <c r="S1191" s="15">
        <v>0</v>
      </c>
      <c r="T1191" s="15">
        <v>0</v>
      </c>
      <c r="U1191" s="17">
        <f t="shared" si="93"/>
        <v>5530.5</v>
      </c>
      <c r="V1191" s="12" t="s">
        <v>63</v>
      </c>
      <c r="W1191" s="12">
        <v>151</v>
      </c>
    </row>
    <row r="1192" spans="4:23" s="12" customFormat="1" ht="30.75" customHeight="1" thickTop="1" thickBot="1" x14ac:dyDescent="0.35">
      <c r="D1192" s="10"/>
      <c r="G1192" s="13">
        <f t="shared" si="94"/>
        <v>1191</v>
      </c>
      <c r="H1192" s="18">
        <v>45997</v>
      </c>
      <c r="I1192" s="15" t="s">
        <v>17</v>
      </c>
      <c r="J1192" s="15">
        <v>184350</v>
      </c>
      <c r="K1192" s="15">
        <v>600</v>
      </c>
      <c r="L1192" s="15">
        <v>127017.15</v>
      </c>
      <c r="M1192" s="16">
        <f t="shared" si="90"/>
        <v>211.69524999999999</v>
      </c>
      <c r="N1192" s="15">
        <v>0</v>
      </c>
      <c r="O1192" s="16">
        <f t="shared" si="91"/>
        <v>184350</v>
      </c>
      <c r="P1192" s="15" t="s">
        <v>18</v>
      </c>
      <c r="Q1192" s="15">
        <v>0.06</v>
      </c>
      <c r="R1192" s="16">
        <f t="shared" si="92"/>
        <v>11061</v>
      </c>
      <c r="S1192" s="15">
        <v>0</v>
      </c>
      <c r="T1192" s="15">
        <v>0</v>
      </c>
      <c r="U1192" s="17">
        <f t="shared" si="93"/>
        <v>11061</v>
      </c>
      <c r="V1192" s="12" t="s">
        <v>63</v>
      </c>
      <c r="W1192" s="12">
        <v>151</v>
      </c>
    </row>
    <row r="1193" spans="4:23" s="12" customFormat="1" ht="30.75" customHeight="1" thickTop="1" thickBot="1" x14ac:dyDescent="0.35">
      <c r="D1193" s="10"/>
      <c r="G1193" s="13">
        <f t="shared" si="94"/>
        <v>1192</v>
      </c>
      <c r="H1193" s="18">
        <v>45997</v>
      </c>
      <c r="I1193" s="36" t="s">
        <v>20</v>
      </c>
      <c r="J1193" s="15">
        <v>936</v>
      </c>
      <c r="K1193" s="15">
        <v>3</v>
      </c>
      <c r="L1193" s="15">
        <v>879.84</v>
      </c>
      <c r="M1193" s="16">
        <f t="shared" si="90"/>
        <v>293.28000000000003</v>
      </c>
      <c r="N1193" s="15">
        <v>0</v>
      </c>
      <c r="O1193" s="16">
        <f t="shared" si="91"/>
        <v>936</v>
      </c>
      <c r="P1193" s="15" t="s">
        <v>18</v>
      </c>
      <c r="Q1193" s="15">
        <v>0.06</v>
      </c>
      <c r="R1193" s="16">
        <f t="shared" si="92"/>
        <v>56.16</v>
      </c>
      <c r="S1193" s="15">
        <v>0</v>
      </c>
      <c r="T1193" s="15">
        <v>0</v>
      </c>
      <c r="U1193" s="17">
        <f t="shared" si="93"/>
        <v>56.16</v>
      </c>
      <c r="V1193" s="12" t="s">
        <v>63</v>
      </c>
      <c r="W1193" s="12">
        <v>151</v>
      </c>
    </row>
    <row r="1194" spans="4:23" s="12" customFormat="1" ht="30.75" customHeight="1" thickTop="1" thickBot="1" x14ac:dyDescent="0.35">
      <c r="D1194" s="10"/>
      <c r="G1194" s="13">
        <f t="shared" si="94"/>
        <v>1193</v>
      </c>
      <c r="H1194" s="18">
        <v>45997</v>
      </c>
      <c r="I1194" s="36" t="s">
        <v>66</v>
      </c>
      <c r="J1194" s="15">
        <v>2472</v>
      </c>
      <c r="K1194" s="15">
        <v>5</v>
      </c>
      <c r="L1194" s="15">
        <v>2323.6799999999998</v>
      </c>
      <c r="M1194" s="16">
        <f t="shared" si="90"/>
        <v>464.73599999999999</v>
      </c>
      <c r="N1194" s="15">
        <v>0</v>
      </c>
      <c r="O1194" s="16">
        <f t="shared" si="91"/>
        <v>2472</v>
      </c>
      <c r="P1194" s="15" t="s">
        <v>18</v>
      </c>
      <c r="Q1194" s="15">
        <v>0.06</v>
      </c>
      <c r="R1194" s="16">
        <f t="shared" si="92"/>
        <v>148.32</v>
      </c>
      <c r="S1194" s="15">
        <v>0</v>
      </c>
      <c r="T1194" s="15">
        <v>0</v>
      </c>
      <c r="U1194" s="17">
        <f t="shared" si="93"/>
        <v>148.32</v>
      </c>
      <c r="V1194" s="12" t="s">
        <v>63</v>
      </c>
      <c r="W1194" s="12">
        <v>151</v>
      </c>
    </row>
    <row r="1195" spans="4:23" s="12" customFormat="1" ht="30.75" customHeight="1" thickTop="1" thickBot="1" x14ac:dyDescent="0.35">
      <c r="D1195" s="10"/>
      <c r="G1195" s="13">
        <f t="shared" si="94"/>
        <v>1194</v>
      </c>
      <c r="H1195" s="18">
        <v>45997</v>
      </c>
      <c r="I1195" s="15" t="s">
        <v>23</v>
      </c>
      <c r="J1195" s="15">
        <v>48000</v>
      </c>
      <c r="K1195" s="15">
        <v>250</v>
      </c>
      <c r="L1195" s="15">
        <v>45120</v>
      </c>
      <c r="M1195" s="16">
        <f t="shared" si="90"/>
        <v>180.48</v>
      </c>
      <c r="N1195" s="15">
        <v>0</v>
      </c>
      <c r="O1195" s="16">
        <f t="shared" si="91"/>
        <v>48000</v>
      </c>
      <c r="P1195" s="15" t="s">
        <v>18</v>
      </c>
      <c r="Q1195" s="15">
        <v>0.06</v>
      </c>
      <c r="R1195" s="16">
        <f t="shared" si="92"/>
        <v>2880</v>
      </c>
      <c r="S1195" s="15">
        <v>0</v>
      </c>
      <c r="T1195" s="15">
        <v>0</v>
      </c>
      <c r="U1195" s="17">
        <f t="shared" si="93"/>
        <v>2880</v>
      </c>
      <c r="V1195" s="12" t="s">
        <v>63</v>
      </c>
      <c r="W1195" s="12">
        <v>151</v>
      </c>
    </row>
    <row r="1196" spans="4:23" s="12" customFormat="1" ht="30.75" customHeight="1" thickTop="1" thickBot="1" x14ac:dyDescent="0.35">
      <c r="D1196" s="10"/>
      <c r="G1196" s="13">
        <f t="shared" si="94"/>
        <v>1195</v>
      </c>
      <c r="H1196" s="18">
        <v>45997</v>
      </c>
      <c r="I1196" s="15" t="s">
        <v>24</v>
      </c>
      <c r="J1196" s="15">
        <v>6500.08</v>
      </c>
      <c r="K1196" s="15">
        <v>20</v>
      </c>
      <c r="L1196" s="15">
        <v>6110.75</v>
      </c>
      <c r="M1196" s="16">
        <f t="shared" si="90"/>
        <v>305.53750000000002</v>
      </c>
      <c r="N1196" s="15">
        <v>0</v>
      </c>
      <c r="O1196" s="16">
        <f t="shared" si="91"/>
        <v>6500.08</v>
      </c>
      <c r="P1196" s="15" t="s">
        <v>18</v>
      </c>
      <c r="Q1196" s="15">
        <v>0.06</v>
      </c>
      <c r="R1196" s="16">
        <f t="shared" si="92"/>
        <v>390.00479999999999</v>
      </c>
      <c r="S1196" s="15">
        <v>0</v>
      </c>
      <c r="T1196" s="15">
        <v>0</v>
      </c>
      <c r="U1196" s="17">
        <f t="shared" si="93"/>
        <v>390.00479999999999</v>
      </c>
      <c r="V1196" s="12" t="s">
        <v>63</v>
      </c>
      <c r="W1196" s="12">
        <v>151</v>
      </c>
    </row>
    <row r="1197" spans="4:23" s="12" customFormat="1" ht="30.75" customHeight="1" thickTop="1" thickBot="1" x14ac:dyDescent="0.35">
      <c r="D1197" s="10"/>
      <c r="G1197" s="13">
        <f t="shared" si="94"/>
        <v>1196</v>
      </c>
      <c r="H1197" s="18">
        <v>45997</v>
      </c>
      <c r="I1197" s="15" t="s">
        <v>31</v>
      </c>
      <c r="J1197" s="15">
        <v>1920</v>
      </c>
      <c r="K1197" s="15">
        <v>10</v>
      </c>
      <c r="L1197" s="15">
        <v>1804.8</v>
      </c>
      <c r="M1197" s="16">
        <f t="shared" si="90"/>
        <v>180.48</v>
      </c>
      <c r="N1197" s="15">
        <v>0</v>
      </c>
      <c r="O1197" s="16">
        <f t="shared" si="91"/>
        <v>1920</v>
      </c>
      <c r="P1197" s="15" t="s">
        <v>18</v>
      </c>
      <c r="Q1197" s="15">
        <v>0.06</v>
      </c>
      <c r="R1197" s="16">
        <f t="shared" si="92"/>
        <v>115.19999999999999</v>
      </c>
      <c r="S1197" s="15">
        <v>0</v>
      </c>
      <c r="T1197" s="15">
        <v>0</v>
      </c>
      <c r="U1197" s="17">
        <f t="shared" si="93"/>
        <v>115.19999999999999</v>
      </c>
      <c r="V1197" s="12" t="s">
        <v>63</v>
      </c>
      <c r="W1197" s="12">
        <v>151</v>
      </c>
    </row>
    <row r="1198" spans="4:23" s="12" customFormat="1" ht="30.75" customHeight="1" thickTop="1" thickBot="1" x14ac:dyDescent="0.35">
      <c r="D1198" s="10"/>
      <c r="G1198" s="13">
        <f t="shared" si="94"/>
        <v>1197</v>
      </c>
      <c r="H1198" s="18">
        <v>45997</v>
      </c>
      <c r="I1198" s="15" t="s">
        <v>36</v>
      </c>
      <c r="J1198" s="15">
        <v>975.12</v>
      </c>
      <c r="K1198" s="15">
        <v>3</v>
      </c>
      <c r="L1198" s="15">
        <v>916.61</v>
      </c>
      <c r="M1198" s="16">
        <f t="shared" si="90"/>
        <v>305.53666666666669</v>
      </c>
      <c r="N1198" s="15">
        <v>0</v>
      </c>
      <c r="O1198" s="16">
        <f t="shared" si="91"/>
        <v>975.12</v>
      </c>
      <c r="P1198" s="15" t="s">
        <v>18</v>
      </c>
      <c r="Q1198" s="15">
        <v>0.06</v>
      </c>
      <c r="R1198" s="16">
        <f t="shared" si="92"/>
        <v>58.507199999999997</v>
      </c>
      <c r="S1198" s="15">
        <v>0</v>
      </c>
      <c r="T1198" s="15">
        <v>0</v>
      </c>
      <c r="U1198" s="17">
        <f t="shared" si="93"/>
        <v>58.507199999999997</v>
      </c>
      <c r="V1198" s="12" t="s">
        <v>63</v>
      </c>
      <c r="W1198" s="12">
        <v>151</v>
      </c>
    </row>
    <row r="1199" spans="4:23" s="12" customFormat="1" ht="30.75" customHeight="1" thickTop="1" thickBot="1" x14ac:dyDescent="0.35">
      <c r="D1199" s="10"/>
      <c r="G1199" s="13">
        <f t="shared" si="94"/>
        <v>1198</v>
      </c>
      <c r="H1199" s="18">
        <v>45999</v>
      </c>
      <c r="I1199" s="15" t="s">
        <v>41</v>
      </c>
      <c r="J1199" s="15">
        <v>53803.199999999997</v>
      </c>
      <c r="K1199" s="15">
        <v>400</v>
      </c>
      <c r="L1199" s="15">
        <v>44145.53</v>
      </c>
      <c r="M1199" s="16">
        <f t="shared" si="90"/>
        <v>110.36382499999999</v>
      </c>
      <c r="N1199" s="15">
        <v>0</v>
      </c>
      <c r="O1199" s="16">
        <f t="shared" si="91"/>
        <v>53803.199999999997</v>
      </c>
      <c r="P1199" s="15" t="s">
        <v>26</v>
      </c>
      <c r="Q1199" s="15">
        <v>0.02</v>
      </c>
      <c r="R1199" s="16">
        <f t="shared" si="92"/>
        <v>1076.0639999999999</v>
      </c>
      <c r="S1199" s="15">
        <v>0</v>
      </c>
      <c r="T1199" s="15">
        <v>0</v>
      </c>
      <c r="U1199" s="17">
        <f t="shared" si="93"/>
        <v>1076.0639999999999</v>
      </c>
      <c r="V1199" s="12" t="s">
        <v>63</v>
      </c>
      <c r="W1199" s="12">
        <v>152</v>
      </c>
    </row>
    <row r="1200" spans="4:23" s="12" customFormat="1" ht="30.75" customHeight="1" thickTop="1" thickBot="1" x14ac:dyDescent="0.35">
      <c r="D1200" s="10"/>
      <c r="G1200" s="13">
        <f t="shared" si="94"/>
        <v>1199</v>
      </c>
      <c r="H1200" s="18">
        <v>45999</v>
      </c>
      <c r="I1200" s="15" t="s">
        <v>30</v>
      </c>
      <c r="J1200" s="15">
        <v>79885</v>
      </c>
      <c r="K1200" s="15">
        <v>260</v>
      </c>
      <c r="L1200" s="15">
        <v>55040.77</v>
      </c>
      <c r="M1200" s="16">
        <f t="shared" si="90"/>
        <v>211.69526923076921</v>
      </c>
      <c r="N1200" s="15">
        <v>0</v>
      </c>
      <c r="O1200" s="16">
        <f t="shared" si="91"/>
        <v>79885</v>
      </c>
      <c r="P1200" s="15" t="s">
        <v>18</v>
      </c>
      <c r="Q1200" s="15">
        <v>0.06</v>
      </c>
      <c r="R1200" s="16">
        <f t="shared" si="92"/>
        <v>4793.0999999999995</v>
      </c>
      <c r="S1200" s="15">
        <v>0</v>
      </c>
      <c r="T1200" s="15">
        <v>0</v>
      </c>
      <c r="U1200" s="17">
        <f t="shared" si="93"/>
        <v>4793.0999999999995</v>
      </c>
      <c r="V1200" s="12" t="s">
        <v>63</v>
      </c>
      <c r="W1200" s="12">
        <v>152</v>
      </c>
    </row>
    <row r="1201" spans="4:23" s="12" customFormat="1" ht="30.75" customHeight="1" thickTop="1" thickBot="1" x14ac:dyDescent="0.35">
      <c r="D1201" s="10"/>
      <c r="G1201" s="13">
        <f t="shared" si="94"/>
        <v>1200</v>
      </c>
      <c r="H1201" s="18">
        <v>45999</v>
      </c>
      <c r="I1201" s="15" t="s">
        <v>17</v>
      </c>
      <c r="J1201" s="15">
        <v>141335</v>
      </c>
      <c r="K1201" s="15">
        <v>460</v>
      </c>
      <c r="L1201" s="15">
        <v>97379.82</v>
      </c>
      <c r="M1201" s="16">
        <f t="shared" si="90"/>
        <v>211.69526086956523</v>
      </c>
      <c r="N1201" s="15">
        <v>0</v>
      </c>
      <c r="O1201" s="16">
        <f t="shared" si="91"/>
        <v>141335</v>
      </c>
      <c r="P1201" s="15" t="s">
        <v>18</v>
      </c>
      <c r="Q1201" s="15">
        <v>0.06</v>
      </c>
      <c r="R1201" s="16">
        <f t="shared" si="92"/>
        <v>8480.1</v>
      </c>
      <c r="S1201" s="15">
        <v>0</v>
      </c>
      <c r="T1201" s="15">
        <v>0</v>
      </c>
      <c r="U1201" s="17">
        <f t="shared" si="93"/>
        <v>8480.1</v>
      </c>
      <c r="V1201" s="12" t="s">
        <v>63</v>
      </c>
      <c r="W1201" s="12">
        <v>152</v>
      </c>
    </row>
    <row r="1202" spans="4:23" s="12" customFormat="1" ht="30.75" customHeight="1" thickTop="1" thickBot="1" x14ac:dyDescent="0.35">
      <c r="D1202" s="10"/>
      <c r="G1202" s="13">
        <f t="shared" si="94"/>
        <v>1201</v>
      </c>
      <c r="H1202" s="18">
        <v>45999</v>
      </c>
      <c r="I1202" s="15" t="s">
        <v>65</v>
      </c>
      <c r="J1202" s="15">
        <v>6500</v>
      </c>
      <c r="K1202" s="15">
        <v>50</v>
      </c>
      <c r="L1202" s="15">
        <v>6110</v>
      </c>
      <c r="M1202" s="16">
        <f t="shared" si="90"/>
        <v>122.2</v>
      </c>
      <c r="N1202" s="15">
        <v>0</v>
      </c>
      <c r="O1202" s="16">
        <f t="shared" si="91"/>
        <v>6500</v>
      </c>
      <c r="P1202" s="15" t="s">
        <v>18</v>
      </c>
      <c r="Q1202" s="15">
        <v>0.06</v>
      </c>
      <c r="R1202" s="16">
        <f t="shared" si="92"/>
        <v>390</v>
      </c>
      <c r="S1202" s="15">
        <v>0</v>
      </c>
      <c r="T1202" s="15">
        <v>0</v>
      </c>
      <c r="U1202" s="17">
        <f t="shared" si="93"/>
        <v>390</v>
      </c>
      <c r="V1202" s="12" t="s">
        <v>63</v>
      </c>
      <c r="W1202" s="12">
        <v>152</v>
      </c>
    </row>
    <row r="1203" spans="4:23" s="12" customFormat="1" ht="30.75" customHeight="1" thickTop="1" thickBot="1" x14ac:dyDescent="0.35">
      <c r="D1203" s="10"/>
      <c r="G1203" s="13">
        <f t="shared" si="94"/>
        <v>1202</v>
      </c>
      <c r="H1203" s="18">
        <v>45999</v>
      </c>
      <c r="I1203" s="36" t="s">
        <v>20</v>
      </c>
      <c r="J1203" s="15">
        <v>624</v>
      </c>
      <c r="K1203" s="15">
        <v>2</v>
      </c>
      <c r="L1203" s="15">
        <v>586.55999999999995</v>
      </c>
      <c r="M1203" s="16">
        <f t="shared" si="90"/>
        <v>293.27999999999997</v>
      </c>
      <c r="N1203" s="15">
        <v>0</v>
      </c>
      <c r="O1203" s="16">
        <f t="shared" si="91"/>
        <v>624</v>
      </c>
      <c r="P1203" s="15" t="s">
        <v>18</v>
      </c>
      <c r="Q1203" s="15">
        <v>0.06</v>
      </c>
      <c r="R1203" s="16">
        <f t="shared" si="92"/>
        <v>37.44</v>
      </c>
      <c r="S1203" s="15">
        <v>0</v>
      </c>
      <c r="T1203" s="15">
        <v>0</v>
      </c>
      <c r="U1203" s="17">
        <f t="shared" si="93"/>
        <v>37.44</v>
      </c>
      <c r="V1203" s="12" t="s">
        <v>63</v>
      </c>
      <c r="W1203" s="12">
        <v>152</v>
      </c>
    </row>
    <row r="1204" spans="4:23" s="12" customFormat="1" ht="30.75" customHeight="1" thickTop="1" thickBot="1" x14ac:dyDescent="0.35">
      <c r="D1204" s="10"/>
      <c r="G1204" s="13">
        <f t="shared" si="94"/>
        <v>1203</v>
      </c>
      <c r="H1204" s="18">
        <v>45999</v>
      </c>
      <c r="I1204" s="15" t="s">
        <v>23</v>
      </c>
      <c r="J1204" s="15">
        <v>28800</v>
      </c>
      <c r="K1204" s="15">
        <v>150</v>
      </c>
      <c r="L1204" s="15">
        <v>27072</v>
      </c>
      <c r="M1204" s="16">
        <f t="shared" si="90"/>
        <v>180.48</v>
      </c>
      <c r="N1204" s="15">
        <v>0</v>
      </c>
      <c r="O1204" s="16">
        <f t="shared" si="91"/>
        <v>28800</v>
      </c>
      <c r="P1204" s="15" t="s">
        <v>18</v>
      </c>
      <c r="Q1204" s="15">
        <v>0.06</v>
      </c>
      <c r="R1204" s="16">
        <f t="shared" si="92"/>
        <v>1728</v>
      </c>
      <c r="S1204" s="15">
        <v>0</v>
      </c>
      <c r="T1204" s="15">
        <v>0</v>
      </c>
      <c r="U1204" s="17">
        <f t="shared" si="93"/>
        <v>1728</v>
      </c>
      <c r="V1204" s="12" t="s">
        <v>63</v>
      </c>
      <c r="W1204" s="12">
        <v>152</v>
      </c>
    </row>
    <row r="1205" spans="4:23" s="12" customFormat="1" ht="30.75" customHeight="1" thickTop="1" thickBot="1" x14ac:dyDescent="0.35">
      <c r="D1205" s="10"/>
      <c r="G1205" s="13">
        <f t="shared" si="94"/>
        <v>1204</v>
      </c>
      <c r="H1205" s="18">
        <v>45999</v>
      </c>
      <c r="I1205" s="15" t="s">
        <v>24</v>
      </c>
      <c r="J1205" s="15">
        <v>9751.2000000000007</v>
      </c>
      <c r="K1205" s="15">
        <v>30</v>
      </c>
      <c r="L1205" s="15">
        <v>9166.1299999999992</v>
      </c>
      <c r="M1205" s="16">
        <f t="shared" si="90"/>
        <v>305.53766666666667</v>
      </c>
      <c r="N1205" s="15">
        <v>0</v>
      </c>
      <c r="O1205" s="16">
        <f t="shared" si="91"/>
        <v>9751.2000000000007</v>
      </c>
      <c r="P1205" s="15" t="s">
        <v>18</v>
      </c>
      <c r="Q1205" s="15">
        <v>0.06</v>
      </c>
      <c r="R1205" s="16">
        <f t="shared" si="92"/>
        <v>585.072</v>
      </c>
      <c r="S1205" s="15">
        <v>0</v>
      </c>
      <c r="T1205" s="15">
        <v>0</v>
      </c>
      <c r="U1205" s="17">
        <f t="shared" si="93"/>
        <v>585.072</v>
      </c>
      <c r="V1205" s="12" t="s">
        <v>63</v>
      </c>
      <c r="W1205" s="12">
        <v>152</v>
      </c>
    </row>
    <row r="1206" spans="4:23" s="12" customFormat="1" ht="30.75" customHeight="1" thickTop="1" thickBot="1" x14ac:dyDescent="0.35">
      <c r="D1206" s="10"/>
      <c r="G1206" s="13">
        <f t="shared" si="94"/>
        <v>1205</v>
      </c>
      <c r="H1206" s="18">
        <v>45999</v>
      </c>
      <c r="I1206" s="15" t="s">
        <v>31</v>
      </c>
      <c r="J1206" s="15">
        <v>2880</v>
      </c>
      <c r="K1206" s="15">
        <v>15</v>
      </c>
      <c r="L1206" s="15">
        <v>2707.2</v>
      </c>
      <c r="M1206" s="16">
        <f t="shared" si="90"/>
        <v>180.48</v>
      </c>
      <c r="N1206" s="15">
        <v>0</v>
      </c>
      <c r="O1206" s="16">
        <f t="shared" si="91"/>
        <v>2880</v>
      </c>
      <c r="P1206" s="15" t="s">
        <v>18</v>
      </c>
      <c r="Q1206" s="15">
        <v>0.06</v>
      </c>
      <c r="R1206" s="16">
        <f t="shared" si="92"/>
        <v>172.79999999999998</v>
      </c>
      <c r="S1206" s="15">
        <v>0</v>
      </c>
      <c r="T1206" s="15">
        <v>0</v>
      </c>
      <c r="U1206" s="17">
        <f t="shared" si="93"/>
        <v>172.79999999999998</v>
      </c>
      <c r="V1206" s="12" t="s">
        <v>63</v>
      </c>
      <c r="W1206" s="12">
        <v>152</v>
      </c>
    </row>
    <row r="1207" spans="4:23" s="12" customFormat="1" ht="30.75" customHeight="1" thickTop="1" thickBot="1" x14ac:dyDescent="0.35">
      <c r="D1207" s="10"/>
      <c r="G1207" s="13">
        <f t="shared" si="94"/>
        <v>1206</v>
      </c>
      <c r="H1207" s="18">
        <v>45999</v>
      </c>
      <c r="I1207" s="15" t="s">
        <v>36</v>
      </c>
      <c r="J1207" s="15">
        <v>650.08000000000004</v>
      </c>
      <c r="K1207" s="15">
        <v>2</v>
      </c>
      <c r="L1207" s="15">
        <v>611.08000000000004</v>
      </c>
      <c r="M1207" s="16">
        <f t="shared" si="90"/>
        <v>305.54000000000002</v>
      </c>
      <c r="N1207" s="15">
        <v>0</v>
      </c>
      <c r="O1207" s="16">
        <f t="shared" si="91"/>
        <v>650.08000000000004</v>
      </c>
      <c r="P1207" s="15" t="s">
        <v>18</v>
      </c>
      <c r="Q1207" s="15">
        <v>0.06</v>
      </c>
      <c r="R1207" s="16">
        <f t="shared" si="92"/>
        <v>39.004800000000003</v>
      </c>
      <c r="S1207" s="15">
        <v>0</v>
      </c>
      <c r="T1207" s="15">
        <v>0</v>
      </c>
      <c r="U1207" s="17">
        <f t="shared" si="93"/>
        <v>39.004800000000003</v>
      </c>
      <c r="V1207" s="12" t="s">
        <v>63</v>
      </c>
      <c r="W1207" s="12">
        <v>152</v>
      </c>
    </row>
    <row r="1208" spans="4:23" s="12" customFormat="1" ht="30.75" customHeight="1" thickTop="1" thickBot="1" x14ac:dyDescent="0.35">
      <c r="D1208" s="10"/>
      <c r="G1208" s="13">
        <f t="shared" si="94"/>
        <v>1207</v>
      </c>
      <c r="H1208" s="18">
        <v>46001</v>
      </c>
      <c r="I1208" s="15" t="s">
        <v>45</v>
      </c>
      <c r="J1208" s="15">
        <v>5940</v>
      </c>
      <c r="K1208" s="15">
        <v>10</v>
      </c>
      <c r="L1208" s="15">
        <v>5643</v>
      </c>
      <c r="M1208" s="16">
        <f t="shared" si="90"/>
        <v>564.29999999999995</v>
      </c>
      <c r="N1208" s="15">
        <v>0</v>
      </c>
      <c r="O1208" s="16">
        <f t="shared" si="91"/>
        <v>5940</v>
      </c>
      <c r="P1208" s="15" t="s">
        <v>33</v>
      </c>
      <c r="Q1208" s="15">
        <v>0.01</v>
      </c>
      <c r="R1208" s="16">
        <f t="shared" si="92"/>
        <v>59.4</v>
      </c>
      <c r="S1208" s="15">
        <v>0</v>
      </c>
      <c r="T1208" s="15">
        <v>0</v>
      </c>
      <c r="U1208" s="17">
        <f t="shared" si="93"/>
        <v>59.4</v>
      </c>
      <c r="V1208" s="12" t="s">
        <v>63</v>
      </c>
      <c r="W1208" s="12">
        <v>153</v>
      </c>
    </row>
    <row r="1209" spans="4:23" s="12" customFormat="1" ht="30.75" customHeight="1" thickTop="1" thickBot="1" x14ac:dyDescent="0.35">
      <c r="D1209" s="10"/>
      <c r="G1209" s="13">
        <f t="shared" si="94"/>
        <v>1208</v>
      </c>
      <c r="H1209" s="18">
        <v>46001</v>
      </c>
      <c r="I1209" s="15" t="s">
        <v>60</v>
      </c>
      <c r="J1209" s="15">
        <v>2860</v>
      </c>
      <c r="K1209" s="15">
        <v>5</v>
      </c>
      <c r="L1209" s="15">
        <v>2717</v>
      </c>
      <c r="M1209" s="16">
        <f t="shared" si="90"/>
        <v>543.4</v>
      </c>
      <c r="N1209" s="15">
        <v>0</v>
      </c>
      <c r="O1209" s="16">
        <f t="shared" si="91"/>
        <v>2860</v>
      </c>
      <c r="P1209" s="15" t="s">
        <v>33</v>
      </c>
      <c r="Q1209" s="15">
        <v>0.01</v>
      </c>
      <c r="R1209" s="16">
        <f t="shared" si="92"/>
        <v>28.6</v>
      </c>
      <c r="S1209" s="15">
        <v>0</v>
      </c>
      <c r="T1209" s="15">
        <v>0</v>
      </c>
      <c r="U1209" s="17">
        <f t="shared" si="93"/>
        <v>28.6</v>
      </c>
      <c r="V1209" s="12" t="s">
        <v>63</v>
      </c>
      <c r="W1209" s="12">
        <v>153</v>
      </c>
    </row>
    <row r="1210" spans="4:23" s="12" customFormat="1" ht="30.75" customHeight="1" thickTop="1" thickBot="1" x14ac:dyDescent="0.35">
      <c r="D1210" s="10"/>
      <c r="G1210" s="13">
        <f t="shared" si="94"/>
        <v>1209</v>
      </c>
      <c r="H1210" s="18">
        <v>46001</v>
      </c>
      <c r="I1210" s="15" t="s">
        <v>30</v>
      </c>
      <c r="J1210" s="15">
        <v>76812.5</v>
      </c>
      <c r="K1210" s="15">
        <v>250</v>
      </c>
      <c r="L1210" s="15">
        <v>52923.81</v>
      </c>
      <c r="M1210" s="16">
        <f t="shared" si="90"/>
        <v>211.69523999999998</v>
      </c>
      <c r="N1210" s="15">
        <v>0</v>
      </c>
      <c r="O1210" s="16">
        <f t="shared" si="91"/>
        <v>76812.5</v>
      </c>
      <c r="P1210" s="15" t="s">
        <v>18</v>
      </c>
      <c r="Q1210" s="15">
        <v>0.06</v>
      </c>
      <c r="R1210" s="16">
        <f t="shared" si="92"/>
        <v>4608.75</v>
      </c>
      <c r="S1210" s="15">
        <v>0</v>
      </c>
      <c r="T1210" s="15">
        <v>0</v>
      </c>
      <c r="U1210" s="17">
        <f t="shared" si="93"/>
        <v>4608.75</v>
      </c>
      <c r="V1210" s="12" t="s">
        <v>63</v>
      </c>
      <c r="W1210" s="12">
        <v>153</v>
      </c>
    </row>
    <row r="1211" spans="4:23" s="12" customFormat="1" ht="30.75" customHeight="1" thickTop="1" thickBot="1" x14ac:dyDescent="0.35">
      <c r="D1211" s="10"/>
      <c r="G1211" s="13">
        <f t="shared" si="94"/>
        <v>1210</v>
      </c>
      <c r="H1211" s="18">
        <v>46001</v>
      </c>
      <c r="I1211" s="15" t="s">
        <v>17</v>
      </c>
      <c r="J1211" s="15">
        <v>153625</v>
      </c>
      <c r="K1211" s="15">
        <v>500</v>
      </c>
      <c r="L1211" s="15">
        <v>105847.63</v>
      </c>
      <c r="M1211" s="16">
        <f t="shared" si="90"/>
        <v>211.69526000000002</v>
      </c>
      <c r="N1211" s="15">
        <v>0</v>
      </c>
      <c r="O1211" s="16">
        <f t="shared" si="91"/>
        <v>153625</v>
      </c>
      <c r="P1211" s="15" t="s">
        <v>18</v>
      </c>
      <c r="Q1211" s="15">
        <v>0.06</v>
      </c>
      <c r="R1211" s="16">
        <f t="shared" si="92"/>
        <v>9217.5</v>
      </c>
      <c r="S1211" s="15">
        <v>0</v>
      </c>
      <c r="T1211" s="15">
        <v>0</v>
      </c>
      <c r="U1211" s="17">
        <f t="shared" si="93"/>
        <v>9217.5</v>
      </c>
      <c r="V1211" s="12" t="s">
        <v>63</v>
      </c>
      <c r="W1211" s="12">
        <v>153</v>
      </c>
    </row>
    <row r="1212" spans="4:23" s="12" customFormat="1" ht="30.75" customHeight="1" thickTop="1" thickBot="1" x14ac:dyDescent="0.35">
      <c r="D1212" s="10"/>
      <c r="G1212" s="13">
        <f t="shared" si="94"/>
        <v>1211</v>
      </c>
      <c r="H1212" s="18">
        <v>46001</v>
      </c>
      <c r="I1212" s="36" t="s">
        <v>20</v>
      </c>
      <c r="J1212" s="15">
        <v>624</v>
      </c>
      <c r="K1212" s="15">
        <v>2</v>
      </c>
      <c r="L1212" s="15">
        <v>586.55999999999995</v>
      </c>
      <c r="M1212" s="16">
        <f t="shared" si="90"/>
        <v>293.27999999999997</v>
      </c>
      <c r="N1212" s="15">
        <v>0</v>
      </c>
      <c r="O1212" s="16">
        <f t="shared" si="91"/>
        <v>624</v>
      </c>
      <c r="P1212" s="15" t="s">
        <v>18</v>
      </c>
      <c r="Q1212" s="15">
        <v>0.06</v>
      </c>
      <c r="R1212" s="16">
        <f t="shared" si="92"/>
        <v>37.44</v>
      </c>
      <c r="S1212" s="15">
        <v>0</v>
      </c>
      <c r="T1212" s="15">
        <v>0</v>
      </c>
      <c r="U1212" s="17">
        <f t="shared" si="93"/>
        <v>37.44</v>
      </c>
      <c r="V1212" s="12" t="s">
        <v>63</v>
      </c>
      <c r="W1212" s="12">
        <v>153</v>
      </c>
    </row>
    <row r="1213" spans="4:23" s="12" customFormat="1" ht="30.75" customHeight="1" thickTop="1" thickBot="1" x14ac:dyDescent="0.35">
      <c r="D1213" s="10"/>
      <c r="G1213" s="13">
        <f t="shared" si="94"/>
        <v>1212</v>
      </c>
      <c r="H1213" s="18">
        <v>46001</v>
      </c>
      <c r="I1213" s="15" t="s">
        <v>23</v>
      </c>
      <c r="J1213" s="15">
        <v>38400</v>
      </c>
      <c r="K1213" s="15">
        <v>200</v>
      </c>
      <c r="L1213" s="15">
        <v>36096</v>
      </c>
      <c r="M1213" s="16">
        <f t="shared" si="90"/>
        <v>180.48</v>
      </c>
      <c r="N1213" s="15">
        <v>0</v>
      </c>
      <c r="O1213" s="16">
        <f t="shared" si="91"/>
        <v>38400</v>
      </c>
      <c r="P1213" s="15" t="s">
        <v>18</v>
      </c>
      <c r="Q1213" s="15">
        <v>0.06</v>
      </c>
      <c r="R1213" s="16">
        <f t="shared" si="92"/>
        <v>2304</v>
      </c>
      <c r="S1213" s="15">
        <v>0</v>
      </c>
      <c r="T1213" s="15">
        <v>0</v>
      </c>
      <c r="U1213" s="17">
        <f t="shared" si="93"/>
        <v>2304</v>
      </c>
      <c r="V1213" s="12" t="s">
        <v>63</v>
      </c>
      <c r="W1213" s="12">
        <v>153</v>
      </c>
    </row>
    <row r="1214" spans="4:23" s="12" customFormat="1" ht="30.75" customHeight="1" thickTop="1" thickBot="1" x14ac:dyDescent="0.35">
      <c r="D1214" s="10"/>
      <c r="G1214" s="13">
        <f t="shared" si="94"/>
        <v>1213</v>
      </c>
      <c r="H1214" s="18">
        <v>46001</v>
      </c>
      <c r="I1214" s="15" t="s">
        <v>24</v>
      </c>
      <c r="J1214" s="15">
        <v>3250.4</v>
      </c>
      <c r="K1214" s="15">
        <v>10</v>
      </c>
      <c r="L1214" s="15">
        <v>3055.38</v>
      </c>
      <c r="M1214" s="16">
        <f t="shared" si="90"/>
        <v>305.53800000000001</v>
      </c>
      <c r="N1214" s="15">
        <v>0</v>
      </c>
      <c r="O1214" s="16">
        <f t="shared" si="91"/>
        <v>3250.4</v>
      </c>
      <c r="P1214" s="15" t="s">
        <v>18</v>
      </c>
      <c r="Q1214" s="15">
        <v>0.06</v>
      </c>
      <c r="R1214" s="16">
        <f t="shared" si="92"/>
        <v>195.024</v>
      </c>
      <c r="S1214" s="15">
        <v>0</v>
      </c>
      <c r="T1214" s="15">
        <v>0</v>
      </c>
      <c r="U1214" s="17">
        <f t="shared" si="93"/>
        <v>195.024</v>
      </c>
      <c r="V1214" s="12" t="s">
        <v>63</v>
      </c>
      <c r="W1214" s="12">
        <v>153</v>
      </c>
    </row>
    <row r="1215" spans="4:23" s="12" customFormat="1" ht="30.75" customHeight="1" thickTop="1" thickBot="1" x14ac:dyDescent="0.35">
      <c r="D1215" s="10"/>
      <c r="G1215" s="13">
        <f t="shared" si="94"/>
        <v>1214</v>
      </c>
      <c r="H1215" s="18">
        <v>46001</v>
      </c>
      <c r="I1215" s="15" t="s">
        <v>31</v>
      </c>
      <c r="J1215" s="15">
        <v>3840</v>
      </c>
      <c r="K1215" s="15">
        <v>20</v>
      </c>
      <c r="L1215" s="15">
        <v>3609.6</v>
      </c>
      <c r="M1215" s="16">
        <f t="shared" si="90"/>
        <v>180.48</v>
      </c>
      <c r="N1215" s="15">
        <v>0</v>
      </c>
      <c r="O1215" s="16">
        <f t="shared" si="91"/>
        <v>3840</v>
      </c>
      <c r="P1215" s="15" t="s">
        <v>18</v>
      </c>
      <c r="Q1215" s="15">
        <v>0.06</v>
      </c>
      <c r="R1215" s="16">
        <f t="shared" si="92"/>
        <v>230.39999999999998</v>
      </c>
      <c r="S1215" s="15">
        <v>0</v>
      </c>
      <c r="T1215" s="15">
        <v>0</v>
      </c>
      <c r="U1215" s="17">
        <f t="shared" si="93"/>
        <v>230.39999999999998</v>
      </c>
      <c r="V1215" s="12" t="s">
        <v>63</v>
      </c>
      <c r="W1215" s="12">
        <v>153</v>
      </c>
    </row>
    <row r="1216" spans="4:23" s="12" customFormat="1" ht="30.75" customHeight="1" thickTop="1" thickBot="1" x14ac:dyDescent="0.35">
      <c r="D1216" s="10"/>
      <c r="G1216" s="13">
        <f t="shared" si="94"/>
        <v>1215</v>
      </c>
      <c r="H1216" s="18">
        <v>46004</v>
      </c>
      <c r="I1216" s="15" t="s">
        <v>47</v>
      </c>
      <c r="J1216" s="15">
        <v>5401.8</v>
      </c>
      <c r="K1216" s="15">
        <v>15</v>
      </c>
      <c r="L1216" s="15">
        <v>5023.67</v>
      </c>
      <c r="M1216" s="16">
        <f t="shared" si="90"/>
        <v>334.91133333333335</v>
      </c>
      <c r="N1216" s="15">
        <v>0</v>
      </c>
      <c r="O1216" s="16">
        <f t="shared" si="91"/>
        <v>5401.8</v>
      </c>
      <c r="P1216" s="15" t="s">
        <v>26</v>
      </c>
      <c r="Q1216" s="15">
        <v>0.02</v>
      </c>
      <c r="R1216" s="16">
        <f t="shared" si="92"/>
        <v>108.036</v>
      </c>
      <c r="S1216" s="15">
        <v>0</v>
      </c>
      <c r="T1216" s="15">
        <v>0</v>
      </c>
      <c r="U1216" s="17">
        <f t="shared" si="93"/>
        <v>108.036</v>
      </c>
      <c r="V1216" s="12" t="s">
        <v>63</v>
      </c>
      <c r="W1216" s="12">
        <v>154</v>
      </c>
    </row>
    <row r="1217" spans="4:23" s="12" customFormat="1" ht="30.75" customHeight="1" thickTop="1" thickBot="1" x14ac:dyDescent="0.35">
      <c r="D1217" s="10"/>
      <c r="G1217" s="13">
        <f t="shared" si="94"/>
        <v>1216</v>
      </c>
      <c r="H1217" s="18">
        <v>46004</v>
      </c>
      <c r="I1217" s="15" t="s">
        <v>25</v>
      </c>
      <c r="J1217" s="15">
        <v>144012</v>
      </c>
      <c r="K1217" s="15">
        <v>600</v>
      </c>
      <c r="L1217" s="15">
        <v>116649.72</v>
      </c>
      <c r="M1217" s="16">
        <f t="shared" si="90"/>
        <v>194.4162</v>
      </c>
      <c r="N1217" s="15">
        <v>0</v>
      </c>
      <c r="O1217" s="16">
        <f t="shared" si="91"/>
        <v>144012</v>
      </c>
      <c r="P1217" s="15" t="s">
        <v>26</v>
      </c>
      <c r="Q1217" s="15">
        <v>0.02</v>
      </c>
      <c r="R1217" s="16">
        <f t="shared" si="92"/>
        <v>2880.2400000000002</v>
      </c>
      <c r="S1217" s="15">
        <v>0</v>
      </c>
      <c r="T1217" s="15">
        <v>0</v>
      </c>
      <c r="U1217" s="17">
        <f t="shared" si="93"/>
        <v>2880.2400000000002</v>
      </c>
      <c r="V1217" s="12" t="s">
        <v>63</v>
      </c>
      <c r="W1217" s="12">
        <v>154</v>
      </c>
    </row>
    <row r="1218" spans="4:23" s="12" customFormat="1" ht="30.75" customHeight="1" thickTop="1" thickBot="1" x14ac:dyDescent="0.35">
      <c r="D1218" s="10"/>
      <c r="G1218" s="13">
        <f t="shared" si="94"/>
        <v>1217</v>
      </c>
      <c r="H1218" s="18">
        <v>46004</v>
      </c>
      <c r="I1218" s="15" t="s">
        <v>57</v>
      </c>
      <c r="J1218" s="15">
        <v>8681</v>
      </c>
      <c r="K1218" s="15">
        <v>20</v>
      </c>
      <c r="L1218" s="15">
        <v>8160.14</v>
      </c>
      <c r="M1218" s="16">
        <f t="shared" ref="M1218:M1281" si="95">IFERROR(L1218/K1218,"")</f>
        <v>408.00700000000001</v>
      </c>
      <c r="N1218" s="15">
        <v>0</v>
      </c>
      <c r="O1218" s="16">
        <f t="shared" ref="O1218:O1281" si="96">J1218-N1218</f>
        <v>8681</v>
      </c>
      <c r="P1218" s="15" t="s">
        <v>29</v>
      </c>
      <c r="Q1218" s="15">
        <v>0.02</v>
      </c>
      <c r="R1218" s="16">
        <f t="shared" ref="R1218:R1281" si="97">J1218*Q1218</f>
        <v>173.62</v>
      </c>
      <c r="S1218" s="15">
        <v>0</v>
      </c>
      <c r="T1218" s="15">
        <v>0</v>
      </c>
      <c r="U1218" s="17">
        <f t="shared" ref="U1218:U1281" si="98">T1218+S1218+R1218</f>
        <v>173.62</v>
      </c>
      <c r="V1218" s="12" t="s">
        <v>63</v>
      </c>
      <c r="W1218" s="12">
        <v>154</v>
      </c>
    </row>
    <row r="1219" spans="4:23" s="12" customFormat="1" ht="30.75" customHeight="1" thickTop="1" thickBot="1" x14ac:dyDescent="0.35">
      <c r="D1219" s="10"/>
      <c r="G1219" s="13">
        <f t="shared" si="94"/>
        <v>1218</v>
      </c>
      <c r="H1219" s="18">
        <v>46004</v>
      </c>
      <c r="I1219" s="15" t="s">
        <v>30</v>
      </c>
      <c r="J1219" s="15">
        <v>72203.75</v>
      </c>
      <c r="K1219" s="15">
        <v>235</v>
      </c>
      <c r="L1219" s="15">
        <v>49748.38</v>
      </c>
      <c r="M1219" s="16">
        <f t="shared" si="95"/>
        <v>211.69523404255318</v>
      </c>
      <c r="N1219" s="15">
        <v>0</v>
      </c>
      <c r="O1219" s="16">
        <f t="shared" si="96"/>
        <v>72203.75</v>
      </c>
      <c r="P1219" s="15" t="s">
        <v>18</v>
      </c>
      <c r="Q1219" s="15">
        <v>0.06</v>
      </c>
      <c r="R1219" s="16">
        <f t="shared" si="97"/>
        <v>4332.2249999999995</v>
      </c>
      <c r="S1219" s="15">
        <v>0</v>
      </c>
      <c r="T1219" s="15">
        <v>0</v>
      </c>
      <c r="U1219" s="17">
        <f t="shared" si="98"/>
        <v>4332.2249999999995</v>
      </c>
      <c r="V1219" s="12" t="s">
        <v>63</v>
      </c>
      <c r="W1219" s="12">
        <v>154</v>
      </c>
    </row>
    <row r="1220" spans="4:23" s="12" customFormat="1" ht="30.75" customHeight="1" thickTop="1" thickBot="1" x14ac:dyDescent="0.35">
      <c r="D1220" s="10"/>
      <c r="G1220" s="13">
        <f t="shared" ref="G1220:G1283" si="99">G1219+1</f>
        <v>1219</v>
      </c>
      <c r="H1220" s="18">
        <v>46004</v>
      </c>
      <c r="I1220" s="15" t="s">
        <v>17</v>
      </c>
      <c r="J1220" s="15">
        <v>104465</v>
      </c>
      <c r="K1220" s="15">
        <v>340</v>
      </c>
      <c r="L1220" s="15">
        <v>71976.39</v>
      </c>
      <c r="M1220" s="16">
        <f t="shared" si="95"/>
        <v>211.69526470588235</v>
      </c>
      <c r="N1220" s="15">
        <v>0</v>
      </c>
      <c r="O1220" s="16">
        <f t="shared" si="96"/>
        <v>104465</v>
      </c>
      <c r="P1220" s="15" t="s">
        <v>18</v>
      </c>
      <c r="Q1220" s="15">
        <v>0.06</v>
      </c>
      <c r="R1220" s="16">
        <f t="shared" si="97"/>
        <v>6267.9</v>
      </c>
      <c r="S1220" s="15">
        <v>0</v>
      </c>
      <c r="T1220" s="15">
        <v>0</v>
      </c>
      <c r="U1220" s="17">
        <f t="shared" si="98"/>
        <v>6267.9</v>
      </c>
      <c r="V1220" s="12" t="s">
        <v>63</v>
      </c>
      <c r="W1220" s="12">
        <v>154</v>
      </c>
    </row>
    <row r="1221" spans="4:23" s="12" customFormat="1" ht="30.75" customHeight="1" thickTop="1" thickBot="1" x14ac:dyDescent="0.35">
      <c r="D1221" s="10"/>
      <c r="G1221" s="13">
        <f t="shared" si="99"/>
        <v>1220</v>
      </c>
      <c r="H1221" s="18">
        <v>46004</v>
      </c>
      <c r="I1221" s="36" t="s">
        <v>20</v>
      </c>
      <c r="J1221" s="15">
        <v>624</v>
      </c>
      <c r="K1221" s="15">
        <v>2</v>
      </c>
      <c r="L1221" s="15">
        <v>586.55999999999995</v>
      </c>
      <c r="M1221" s="16">
        <f t="shared" si="95"/>
        <v>293.27999999999997</v>
      </c>
      <c r="N1221" s="15">
        <v>0</v>
      </c>
      <c r="O1221" s="16">
        <f t="shared" si="96"/>
        <v>624</v>
      </c>
      <c r="P1221" s="15" t="s">
        <v>18</v>
      </c>
      <c r="Q1221" s="15">
        <v>0.06</v>
      </c>
      <c r="R1221" s="16">
        <f t="shared" si="97"/>
        <v>37.44</v>
      </c>
      <c r="S1221" s="15">
        <v>0</v>
      </c>
      <c r="T1221" s="15">
        <v>0</v>
      </c>
      <c r="U1221" s="17">
        <f t="shared" si="98"/>
        <v>37.44</v>
      </c>
      <c r="V1221" s="12" t="s">
        <v>63</v>
      </c>
      <c r="W1221" s="12">
        <v>154</v>
      </c>
    </row>
    <row r="1222" spans="4:23" s="12" customFormat="1" ht="30.75" customHeight="1" thickTop="1" thickBot="1" x14ac:dyDescent="0.35">
      <c r="D1222" s="10"/>
      <c r="G1222" s="13">
        <f t="shared" si="99"/>
        <v>1221</v>
      </c>
      <c r="H1222" s="18">
        <v>46004</v>
      </c>
      <c r="I1222" s="36" t="s">
        <v>66</v>
      </c>
      <c r="J1222" s="15">
        <v>1483.2</v>
      </c>
      <c r="K1222" s="15">
        <v>3</v>
      </c>
      <c r="L1222" s="15">
        <v>1394.21</v>
      </c>
      <c r="M1222" s="16">
        <f t="shared" si="95"/>
        <v>464.73666666666668</v>
      </c>
      <c r="N1222" s="15">
        <v>0</v>
      </c>
      <c r="O1222" s="16">
        <f t="shared" si="96"/>
        <v>1483.2</v>
      </c>
      <c r="P1222" s="15" t="s">
        <v>18</v>
      </c>
      <c r="Q1222" s="15">
        <v>0.06</v>
      </c>
      <c r="R1222" s="16">
        <f t="shared" si="97"/>
        <v>88.992000000000004</v>
      </c>
      <c r="S1222" s="15">
        <v>0</v>
      </c>
      <c r="T1222" s="15">
        <v>0</v>
      </c>
      <c r="U1222" s="17">
        <f t="shared" si="98"/>
        <v>88.992000000000004</v>
      </c>
      <c r="V1222" s="12" t="s">
        <v>63</v>
      </c>
      <c r="W1222" s="12">
        <v>154</v>
      </c>
    </row>
    <row r="1223" spans="4:23" s="12" customFormat="1" ht="30.75" customHeight="1" thickTop="1" thickBot="1" x14ac:dyDescent="0.35">
      <c r="D1223" s="10"/>
      <c r="G1223" s="13">
        <f t="shared" si="99"/>
        <v>1222</v>
      </c>
      <c r="H1223" s="18">
        <v>46004</v>
      </c>
      <c r="I1223" s="15" t="s">
        <v>23</v>
      </c>
      <c r="J1223" s="15">
        <v>44160</v>
      </c>
      <c r="K1223" s="15">
        <v>230</v>
      </c>
      <c r="L1223" s="15">
        <v>41510.129999999997</v>
      </c>
      <c r="M1223" s="16">
        <f t="shared" si="95"/>
        <v>180.4788260869565</v>
      </c>
      <c r="N1223" s="15">
        <v>0</v>
      </c>
      <c r="O1223" s="16">
        <f t="shared" si="96"/>
        <v>44160</v>
      </c>
      <c r="P1223" s="15" t="s">
        <v>18</v>
      </c>
      <c r="Q1223" s="15">
        <v>0.06</v>
      </c>
      <c r="R1223" s="16">
        <f t="shared" si="97"/>
        <v>2649.6</v>
      </c>
      <c r="S1223" s="15">
        <v>0</v>
      </c>
      <c r="T1223" s="15">
        <v>0</v>
      </c>
      <c r="U1223" s="17">
        <f t="shared" si="98"/>
        <v>2649.6</v>
      </c>
      <c r="V1223" s="12" t="s">
        <v>63</v>
      </c>
      <c r="W1223" s="12">
        <v>154</v>
      </c>
    </row>
    <row r="1224" spans="4:23" s="12" customFormat="1" ht="30.75" customHeight="1" thickTop="1" thickBot="1" x14ac:dyDescent="0.35">
      <c r="D1224" s="10"/>
      <c r="G1224" s="13">
        <f t="shared" si="99"/>
        <v>1223</v>
      </c>
      <c r="H1224" s="18">
        <v>46004</v>
      </c>
      <c r="I1224" s="15" t="s">
        <v>24</v>
      </c>
      <c r="J1224" s="15">
        <v>9751.2000000000007</v>
      </c>
      <c r="K1224" s="15">
        <v>30</v>
      </c>
      <c r="L1224" s="15">
        <v>9166.1299999999992</v>
      </c>
      <c r="M1224" s="16">
        <f t="shared" si="95"/>
        <v>305.53766666666667</v>
      </c>
      <c r="N1224" s="15">
        <v>0</v>
      </c>
      <c r="O1224" s="16">
        <f t="shared" si="96"/>
        <v>9751.2000000000007</v>
      </c>
      <c r="P1224" s="15" t="s">
        <v>18</v>
      </c>
      <c r="Q1224" s="15">
        <v>0.06</v>
      </c>
      <c r="R1224" s="16">
        <f t="shared" si="97"/>
        <v>585.072</v>
      </c>
      <c r="S1224" s="15">
        <v>0</v>
      </c>
      <c r="T1224" s="15">
        <v>0</v>
      </c>
      <c r="U1224" s="17">
        <f t="shared" si="98"/>
        <v>585.072</v>
      </c>
      <c r="V1224" s="12" t="s">
        <v>63</v>
      </c>
      <c r="W1224" s="12">
        <v>154</v>
      </c>
    </row>
    <row r="1225" spans="4:23" s="12" customFormat="1" ht="30.75" customHeight="1" thickTop="1" thickBot="1" x14ac:dyDescent="0.35">
      <c r="D1225" s="10"/>
      <c r="G1225" s="13">
        <f t="shared" si="99"/>
        <v>1224</v>
      </c>
      <c r="H1225" s="18">
        <v>46004</v>
      </c>
      <c r="I1225" s="15" t="s">
        <v>31</v>
      </c>
      <c r="J1225" s="15">
        <v>4800</v>
      </c>
      <c r="K1225" s="15">
        <v>25</v>
      </c>
      <c r="L1225" s="15">
        <v>4512</v>
      </c>
      <c r="M1225" s="16">
        <f t="shared" si="95"/>
        <v>180.48</v>
      </c>
      <c r="N1225" s="15">
        <v>0</v>
      </c>
      <c r="O1225" s="16">
        <f t="shared" si="96"/>
        <v>4800</v>
      </c>
      <c r="P1225" s="15" t="s">
        <v>18</v>
      </c>
      <c r="Q1225" s="15">
        <v>0.06</v>
      </c>
      <c r="R1225" s="16">
        <f t="shared" si="97"/>
        <v>288</v>
      </c>
      <c r="S1225" s="15">
        <v>0</v>
      </c>
      <c r="T1225" s="15">
        <v>0</v>
      </c>
      <c r="U1225" s="17">
        <f t="shared" si="98"/>
        <v>288</v>
      </c>
      <c r="V1225" s="12" t="s">
        <v>63</v>
      </c>
      <c r="W1225" s="12">
        <v>154</v>
      </c>
    </row>
    <row r="1226" spans="4:23" s="12" customFormat="1" ht="30.75" customHeight="1" thickTop="1" thickBot="1" x14ac:dyDescent="0.35">
      <c r="D1226" s="10"/>
      <c r="G1226" s="13">
        <f t="shared" si="99"/>
        <v>1225</v>
      </c>
      <c r="H1226" s="18">
        <v>46006</v>
      </c>
      <c r="I1226" s="15" t="s">
        <v>30</v>
      </c>
      <c r="J1226" s="15">
        <v>61450</v>
      </c>
      <c r="K1226" s="15">
        <v>200</v>
      </c>
      <c r="L1226" s="15">
        <v>42339.05</v>
      </c>
      <c r="M1226" s="16">
        <f t="shared" si="95"/>
        <v>211.69525000000002</v>
      </c>
      <c r="N1226" s="15">
        <v>0</v>
      </c>
      <c r="O1226" s="16">
        <f t="shared" si="96"/>
        <v>61450</v>
      </c>
      <c r="P1226" s="15" t="s">
        <v>18</v>
      </c>
      <c r="Q1226" s="15">
        <v>0.06</v>
      </c>
      <c r="R1226" s="16">
        <f t="shared" si="97"/>
        <v>3687</v>
      </c>
      <c r="S1226" s="15">
        <v>0</v>
      </c>
      <c r="T1226" s="15">
        <v>0</v>
      </c>
      <c r="U1226" s="17">
        <f t="shared" si="98"/>
        <v>3687</v>
      </c>
      <c r="V1226" s="12" t="s">
        <v>63</v>
      </c>
      <c r="W1226" s="12">
        <v>155</v>
      </c>
    </row>
    <row r="1227" spans="4:23" s="12" customFormat="1" ht="30.75" customHeight="1" thickTop="1" thickBot="1" x14ac:dyDescent="0.35">
      <c r="D1227" s="10"/>
      <c r="G1227" s="13">
        <f t="shared" si="99"/>
        <v>1226</v>
      </c>
      <c r="H1227" s="18">
        <v>46006</v>
      </c>
      <c r="I1227" s="15" t="s">
        <v>17</v>
      </c>
      <c r="J1227" s="15">
        <v>76812.5</v>
      </c>
      <c r="K1227" s="15">
        <v>250</v>
      </c>
      <c r="L1227" s="15">
        <v>52923.81</v>
      </c>
      <c r="M1227" s="16">
        <f t="shared" si="95"/>
        <v>211.69523999999998</v>
      </c>
      <c r="N1227" s="15">
        <v>0</v>
      </c>
      <c r="O1227" s="16">
        <f t="shared" si="96"/>
        <v>76812.5</v>
      </c>
      <c r="P1227" s="15" t="s">
        <v>18</v>
      </c>
      <c r="Q1227" s="15">
        <v>0.06</v>
      </c>
      <c r="R1227" s="16">
        <f t="shared" si="97"/>
        <v>4608.75</v>
      </c>
      <c r="S1227" s="15">
        <v>0</v>
      </c>
      <c r="T1227" s="15">
        <v>0</v>
      </c>
      <c r="U1227" s="17">
        <f t="shared" si="98"/>
        <v>4608.75</v>
      </c>
      <c r="V1227" s="12" t="s">
        <v>63</v>
      </c>
      <c r="W1227" s="12">
        <v>155</v>
      </c>
    </row>
    <row r="1228" spans="4:23" s="12" customFormat="1" ht="30.75" customHeight="1" thickTop="1" thickBot="1" x14ac:dyDescent="0.35">
      <c r="D1228" s="10"/>
      <c r="G1228" s="13">
        <f t="shared" si="99"/>
        <v>1227</v>
      </c>
      <c r="H1228" s="18">
        <v>46006</v>
      </c>
      <c r="I1228" s="36" t="s">
        <v>62</v>
      </c>
      <c r="J1228" s="15">
        <v>2184</v>
      </c>
      <c r="K1228" s="15">
        <v>10</v>
      </c>
      <c r="L1228" s="15">
        <v>1310.4000000000001</v>
      </c>
      <c r="M1228" s="16">
        <f t="shared" si="95"/>
        <v>131.04000000000002</v>
      </c>
      <c r="N1228" s="15">
        <v>0</v>
      </c>
      <c r="O1228" s="16">
        <f t="shared" si="96"/>
        <v>2184</v>
      </c>
      <c r="P1228" s="15" t="s">
        <v>18</v>
      </c>
      <c r="Q1228" s="15">
        <v>0.06</v>
      </c>
      <c r="R1228" s="16">
        <f t="shared" si="97"/>
        <v>131.04</v>
      </c>
      <c r="S1228" s="15">
        <v>0</v>
      </c>
      <c r="T1228" s="15">
        <v>0</v>
      </c>
      <c r="U1228" s="17">
        <f t="shared" si="98"/>
        <v>131.04</v>
      </c>
      <c r="V1228" s="12" t="s">
        <v>63</v>
      </c>
      <c r="W1228" s="12">
        <v>155</v>
      </c>
    </row>
    <row r="1229" spans="4:23" s="12" customFormat="1" ht="30.75" customHeight="1" thickTop="1" thickBot="1" x14ac:dyDescent="0.35">
      <c r="D1229" s="10"/>
      <c r="G1229" s="13">
        <f t="shared" si="99"/>
        <v>1228</v>
      </c>
      <c r="H1229" s="18">
        <v>46006</v>
      </c>
      <c r="I1229" s="15" t="s">
        <v>65</v>
      </c>
      <c r="J1229" s="15">
        <v>10400</v>
      </c>
      <c r="K1229" s="15">
        <v>80</v>
      </c>
      <c r="L1229" s="15">
        <v>9776</v>
      </c>
      <c r="M1229" s="16">
        <f t="shared" si="95"/>
        <v>122.2</v>
      </c>
      <c r="N1229" s="15">
        <v>0</v>
      </c>
      <c r="O1229" s="16">
        <f t="shared" si="96"/>
        <v>10400</v>
      </c>
      <c r="P1229" s="15" t="s">
        <v>18</v>
      </c>
      <c r="Q1229" s="15">
        <v>0.06</v>
      </c>
      <c r="R1229" s="16">
        <f t="shared" si="97"/>
        <v>624</v>
      </c>
      <c r="S1229" s="15">
        <v>0</v>
      </c>
      <c r="T1229" s="15">
        <v>0</v>
      </c>
      <c r="U1229" s="17">
        <f t="shared" si="98"/>
        <v>624</v>
      </c>
      <c r="V1229" s="12" t="s">
        <v>63</v>
      </c>
      <c r="W1229" s="12">
        <v>155</v>
      </c>
    </row>
    <row r="1230" spans="4:23" s="12" customFormat="1" ht="30.75" customHeight="1" thickTop="1" thickBot="1" x14ac:dyDescent="0.35">
      <c r="D1230" s="10"/>
      <c r="G1230" s="13">
        <f t="shared" si="99"/>
        <v>1229</v>
      </c>
      <c r="H1230" s="18">
        <v>46006</v>
      </c>
      <c r="I1230" s="36" t="s">
        <v>20</v>
      </c>
      <c r="J1230" s="15">
        <v>936</v>
      </c>
      <c r="K1230" s="15">
        <v>3</v>
      </c>
      <c r="L1230" s="15">
        <v>879.84</v>
      </c>
      <c r="M1230" s="16">
        <f t="shared" si="95"/>
        <v>293.28000000000003</v>
      </c>
      <c r="N1230" s="15">
        <v>0</v>
      </c>
      <c r="O1230" s="16">
        <f t="shared" si="96"/>
        <v>936</v>
      </c>
      <c r="P1230" s="15" t="s">
        <v>18</v>
      </c>
      <c r="Q1230" s="15">
        <v>0.06</v>
      </c>
      <c r="R1230" s="16">
        <f t="shared" si="97"/>
        <v>56.16</v>
      </c>
      <c r="S1230" s="15">
        <v>0</v>
      </c>
      <c r="T1230" s="15">
        <v>0</v>
      </c>
      <c r="U1230" s="17">
        <f t="shared" si="98"/>
        <v>56.16</v>
      </c>
      <c r="V1230" s="12" t="s">
        <v>63</v>
      </c>
      <c r="W1230" s="12">
        <v>155</v>
      </c>
    </row>
    <row r="1231" spans="4:23" s="12" customFormat="1" ht="30.75" customHeight="1" thickTop="1" thickBot="1" x14ac:dyDescent="0.35">
      <c r="D1231" s="10"/>
      <c r="G1231" s="13">
        <f t="shared" si="99"/>
        <v>1230</v>
      </c>
      <c r="H1231" s="18">
        <v>46006</v>
      </c>
      <c r="I1231" s="36" t="s">
        <v>66</v>
      </c>
      <c r="J1231" s="15">
        <v>1483.2</v>
      </c>
      <c r="K1231" s="15">
        <v>3</v>
      </c>
      <c r="L1231" s="15">
        <v>1394.21</v>
      </c>
      <c r="M1231" s="16">
        <f t="shared" si="95"/>
        <v>464.73666666666668</v>
      </c>
      <c r="N1231" s="15">
        <v>0</v>
      </c>
      <c r="O1231" s="16">
        <f t="shared" si="96"/>
        <v>1483.2</v>
      </c>
      <c r="P1231" s="15" t="s">
        <v>18</v>
      </c>
      <c r="Q1231" s="15">
        <v>0.06</v>
      </c>
      <c r="R1231" s="16">
        <f t="shared" si="97"/>
        <v>88.992000000000004</v>
      </c>
      <c r="S1231" s="15">
        <v>0</v>
      </c>
      <c r="T1231" s="15">
        <v>0</v>
      </c>
      <c r="U1231" s="17">
        <f t="shared" si="98"/>
        <v>88.992000000000004</v>
      </c>
      <c r="V1231" s="12" t="s">
        <v>63</v>
      </c>
      <c r="W1231" s="12">
        <v>155</v>
      </c>
    </row>
    <row r="1232" spans="4:23" s="12" customFormat="1" ht="30.75" customHeight="1" thickTop="1" thickBot="1" x14ac:dyDescent="0.35">
      <c r="D1232" s="10"/>
      <c r="G1232" s="13">
        <f t="shared" si="99"/>
        <v>1231</v>
      </c>
      <c r="H1232" s="18">
        <v>46006</v>
      </c>
      <c r="I1232" s="15" t="s">
        <v>23</v>
      </c>
      <c r="J1232" s="15">
        <v>28800</v>
      </c>
      <c r="K1232" s="15">
        <v>150</v>
      </c>
      <c r="L1232" s="15">
        <v>27072</v>
      </c>
      <c r="M1232" s="16">
        <f t="shared" si="95"/>
        <v>180.48</v>
      </c>
      <c r="N1232" s="15">
        <v>0</v>
      </c>
      <c r="O1232" s="16">
        <f t="shared" si="96"/>
        <v>28800</v>
      </c>
      <c r="P1232" s="15" t="s">
        <v>18</v>
      </c>
      <c r="Q1232" s="15">
        <v>0.06</v>
      </c>
      <c r="R1232" s="16">
        <f t="shared" si="97"/>
        <v>1728</v>
      </c>
      <c r="S1232" s="15">
        <v>0</v>
      </c>
      <c r="T1232" s="15">
        <v>0</v>
      </c>
      <c r="U1232" s="17">
        <f t="shared" si="98"/>
        <v>1728</v>
      </c>
      <c r="V1232" s="12" t="s">
        <v>63</v>
      </c>
      <c r="W1232" s="12">
        <v>155</v>
      </c>
    </row>
    <row r="1233" spans="4:23" s="12" customFormat="1" ht="30.75" customHeight="1" thickTop="1" thickBot="1" x14ac:dyDescent="0.35">
      <c r="D1233" s="10"/>
      <c r="G1233" s="13">
        <f t="shared" si="99"/>
        <v>1232</v>
      </c>
      <c r="H1233" s="18">
        <v>46006</v>
      </c>
      <c r="I1233" s="15" t="s">
        <v>24</v>
      </c>
      <c r="J1233" s="15">
        <v>3250.4</v>
      </c>
      <c r="K1233" s="15">
        <v>10</v>
      </c>
      <c r="L1233" s="15">
        <v>3055.38</v>
      </c>
      <c r="M1233" s="16">
        <f t="shared" si="95"/>
        <v>305.53800000000001</v>
      </c>
      <c r="N1233" s="15">
        <v>0</v>
      </c>
      <c r="O1233" s="16">
        <f t="shared" si="96"/>
        <v>3250.4</v>
      </c>
      <c r="P1233" s="15" t="s">
        <v>18</v>
      </c>
      <c r="Q1233" s="15">
        <v>0.06</v>
      </c>
      <c r="R1233" s="16">
        <f t="shared" si="97"/>
        <v>195.024</v>
      </c>
      <c r="S1233" s="15">
        <v>0</v>
      </c>
      <c r="T1233" s="15">
        <v>0</v>
      </c>
      <c r="U1233" s="17">
        <f t="shared" si="98"/>
        <v>195.024</v>
      </c>
      <c r="V1233" s="12" t="s">
        <v>63</v>
      </c>
      <c r="W1233" s="12">
        <v>155</v>
      </c>
    </row>
    <row r="1234" spans="4:23" s="12" customFormat="1" ht="30.75" customHeight="1" thickTop="1" thickBot="1" x14ac:dyDescent="0.35">
      <c r="D1234" s="10"/>
      <c r="G1234" s="13">
        <f t="shared" si="99"/>
        <v>1233</v>
      </c>
      <c r="H1234" s="18">
        <v>46006</v>
      </c>
      <c r="I1234" s="15" t="s">
        <v>31</v>
      </c>
      <c r="J1234" s="15">
        <v>7680</v>
      </c>
      <c r="K1234" s="15">
        <v>40</v>
      </c>
      <c r="L1234" s="15">
        <v>7219.2</v>
      </c>
      <c r="M1234" s="16">
        <f t="shared" si="95"/>
        <v>180.48</v>
      </c>
      <c r="N1234" s="15">
        <v>0</v>
      </c>
      <c r="O1234" s="16">
        <f t="shared" si="96"/>
        <v>7680</v>
      </c>
      <c r="P1234" s="15" t="s">
        <v>18</v>
      </c>
      <c r="Q1234" s="15">
        <v>0.06</v>
      </c>
      <c r="R1234" s="16">
        <f t="shared" si="97"/>
        <v>460.79999999999995</v>
      </c>
      <c r="S1234" s="15">
        <v>0</v>
      </c>
      <c r="T1234" s="15">
        <v>0</v>
      </c>
      <c r="U1234" s="17">
        <f t="shared" si="98"/>
        <v>460.79999999999995</v>
      </c>
      <c r="V1234" s="12" t="s">
        <v>63</v>
      </c>
      <c r="W1234" s="12">
        <v>155</v>
      </c>
    </row>
    <row r="1235" spans="4:23" s="12" customFormat="1" ht="30.75" customHeight="1" thickTop="1" thickBot="1" x14ac:dyDescent="0.35">
      <c r="D1235" s="10"/>
      <c r="G1235" s="13">
        <f t="shared" si="99"/>
        <v>1234</v>
      </c>
      <c r="H1235" s="18">
        <v>46006</v>
      </c>
      <c r="I1235" s="15" t="s">
        <v>36</v>
      </c>
      <c r="J1235" s="15">
        <v>650.08000000000004</v>
      </c>
      <c r="K1235" s="15">
        <v>2</v>
      </c>
      <c r="L1235" s="15">
        <v>611.08000000000004</v>
      </c>
      <c r="M1235" s="16">
        <f t="shared" si="95"/>
        <v>305.54000000000002</v>
      </c>
      <c r="N1235" s="15">
        <v>0</v>
      </c>
      <c r="O1235" s="16">
        <f t="shared" si="96"/>
        <v>650.08000000000004</v>
      </c>
      <c r="P1235" s="15" t="s">
        <v>18</v>
      </c>
      <c r="Q1235" s="15">
        <v>0.06</v>
      </c>
      <c r="R1235" s="16">
        <f t="shared" si="97"/>
        <v>39.004800000000003</v>
      </c>
      <c r="S1235" s="15">
        <v>0</v>
      </c>
      <c r="T1235" s="15">
        <v>0</v>
      </c>
      <c r="U1235" s="17">
        <f t="shared" si="98"/>
        <v>39.004800000000003</v>
      </c>
      <c r="V1235" s="12" t="s">
        <v>63</v>
      </c>
      <c r="W1235" s="12">
        <v>155</v>
      </c>
    </row>
    <row r="1236" spans="4:23" s="12" customFormat="1" ht="30.75" customHeight="1" thickTop="1" thickBot="1" x14ac:dyDescent="0.35">
      <c r="D1236" s="10"/>
      <c r="G1236" s="13">
        <f t="shared" si="99"/>
        <v>1235</v>
      </c>
      <c r="H1236" s="18">
        <v>46006</v>
      </c>
      <c r="I1236" s="15" t="s">
        <v>25</v>
      </c>
      <c r="J1236" s="15">
        <v>72006</v>
      </c>
      <c r="K1236" s="15">
        <v>300</v>
      </c>
      <c r="L1236" s="15">
        <v>63941.23</v>
      </c>
      <c r="M1236" s="16">
        <f t="shared" si="95"/>
        <v>213.13743333333335</v>
      </c>
      <c r="N1236" s="15">
        <v>0</v>
      </c>
      <c r="O1236" s="16">
        <f t="shared" si="96"/>
        <v>72006</v>
      </c>
      <c r="P1236" s="15" t="s">
        <v>26</v>
      </c>
      <c r="Q1236" s="15">
        <v>0.02</v>
      </c>
      <c r="R1236" s="16">
        <f t="shared" si="97"/>
        <v>1440.1200000000001</v>
      </c>
      <c r="S1236" s="15">
        <v>0</v>
      </c>
      <c r="T1236" s="15">
        <v>0</v>
      </c>
      <c r="U1236" s="17">
        <f t="shared" si="98"/>
        <v>1440.1200000000001</v>
      </c>
      <c r="V1236" s="12" t="s">
        <v>63</v>
      </c>
      <c r="W1236" s="12">
        <v>155</v>
      </c>
    </row>
    <row r="1237" spans="4:23" s="12" customFormat="1" ht="30.75" customHeight="1" thickTop="1" thickBot="1" x14ac:dyDescent="0.35">
      <c r="D1237" s="10"/>
      <c r="G1237" s="13">
        <f t="shared" si="99"/>
        <v>1236</v>
      </c>
      <c r="H1237" s="18">
        <v>46008</v>
      </c>
      <c r="I1237" s="15" t="s">
        <v>45</v>
      </c>
      <c r="J1237" s="15">
        <v>2970</v>
      </c>
      <c r="K1237" s="15">
        <v>5</v>
      </c>
      <c r="L1237" s="15">
        <v>2821.5</v>
      </c>
      <c r="M1237" s="16">
        <f t="shared" si="95"/>
        <v>564.29999999999995</v>
      </c>
      <c r="N1237" s="15">
        <v>0</v>
      </c>
      <c r="O1237" s="16">
        <f t="shared" si="96"/>
        <v>2970</v>
      </c>
      <c r="P1237" s="15" t="s">
        <v>33</v>
      </c>
      <c r="Q1237" s="15">
        <v>0.01</v>
      </c>
      <c r="R1237" s="16">
        <f t="shared" si="97"/>
        <v>29.7</v>
      </c>
      <c r="S1237" s="15">
        <v>0</v>
      </c>
      <c r="T1237" s="15">
        <v>0</v>
      </c>
      <c r="U1237" s="17">
        <f t="shared" si="98"/>
        <v>29.7</v>
      </c>
      <c r="V1237" s="12" t="s">
        <v>63</v>
      </c>
      <c r="W1237" s="12">
        <v>156</v>
      </c>
    </row>
    <row r="1238" spans="4:23" s="12" customFormat="1" ht="30.75" customHeight="1" thickTop="1" thickBot="1" x14ac:dyDescent="0.35">
      <c r="D1238" s="10"/>
      <c r="G1238" s="13">
        <f t="shared" si="99"/>
        <v>1237</v>
      </c>
      <c r="H1238" s="18">
        <v>46008</v>
      </c>
      <c r="I1238" s="15" t="s">
        <v>47</v>
      </c>
      <c r="J1238" s="15">
        <v>9303</v>
      </c>
      <c r="K1238" s="15">
        <v>25</v>
      </c>
      <c r="L1238" s="15">
        <v>8651.7900000000009</v>
      </c>
      <c r="M1238" s="16">
        <f t="shared" si="95"/>
        <v>346.07160000000005</v>
      </c>
      <c r="N1238" s="15">
        <v>0</v>
      </c>
      <c r="O1238" s="16">
        <f t="shared" si="96"/>
        <v>9303</v>
      </c>
      <c r="P1238" s="15" t="s">
        <v>26</v>
      </c>
      <c r="Q1238" s="15">
        <v>0.02</v>
      </c>
      <c r="R1238" s="16">
        <f t="shared" si="97"/>
        <v>186.06</v>
      </c>
      <c r="S1238" s="15">
        <v>0</v>
      </c>
      <c r="T1238" s="15">
        <v>0</v>
      </c>
      <c r="U1238" s="17">
        <f t="shared" si="98"/>
        <v>186.06</v>
      </c>
      <c r="V1238" s="12" t="s">
        <v>63</v>
      </c>
      <c r="W1238" s="12">
        <v>156</v>
      </c>
    </row>
    <row r="1239" spans="4:23" s="12" customFormat="1" ht="30.75" customHeight="1" thickTop="1" thickBot="1" x14ac:dyDescent="0.35">
      <c r="D1239" s="10"/>
      <c r="G1239" s="13">
        <f t="shared" si="99"/>
        <v>1238</v>
      </c>
      <c r="H1239" s="18">
        <v>46008</v>
      </c>
      <c r="I1239" s="15" t="s">
        <v>30</v>
      </c>
      <c r="J1239" s="15">
        <v>69131.25</v>
      </c>
      <c r="K1239" s="15">
        <v>225</v>
      </c>
      <c r="L1239" s="15">
        <v>47631.43</v>
      </c>
      <c r="M1239" s="16">
        <f t="shared" si="95"/>
        <v>211.69524444444446</v>
      </c>
      <c r="N1239" s="15">
        <v>0</v>
      </c>
      <c r="O1239" s="16">
        <f t="shared" si="96"/>
        <v>69131.25</v>
      </c>
      <c r="P1239" s="15" t="s">
        <v>18</v>
      </c>
      <c r="Q1239" s="15">
        <v>0.06</v>
      </c>
      <c r="R1239" s="16">
        <f t="shared" si="97"/>
        <v>4147.875</v>
      </c>
      <c r="S1239" s="15">
        <v>0</v>
      </c>
      <c r="T1239" s="15">
        <v>0</v>
      </c>
      <c r="U1239" s="17">
        <f t="shared" si="98"/>
        <v>4147.875</v>
      </c>
      <c r="V1239" s="12" t="s">
        <v>63</v>
      </c>
      <c r="W1239" s="12">
        <v>156</v>
      </c>
    </row>
    <row r="1240" spans="4:23" s="12" customFormat="1" ht="30.75" customHeight="1" thickTop="1" thickBot="1" x14ac:dyDescent="0.35">
      <c r="D1240" s="10"/>
      <c r="G1240" s="13">
        <f t="shared" si="99"/>
        <v>1239</v>
      </c>
      <c r="H1240" s="18">
        <v>46008</v>
      </c>
      <c r="I1240" s="15" t="s">
        <v>17</v>
      </c>
      <c r="J1240" s="15">
        <v>153625</v>
      </c>
      <c r="K1240" s="15">
        <v>500</v>
      </c>
      <c r="L1240" s="15">
        <v>105847.63</v>
      </c>
      <c r="M1240" s="16">
        <f t="shared" si="95"/>
        <v>211.69526000000002</v>
      </c>
      <c r="N1240" s="15">
        <v>0</v>
      </c>
      <c r="O1240" s="16">
        <f t="shared" si="96"/>
        <v>153625</v>
      </c>
      <c r="P1240" s="15" t="s">
        <v>18</v>
      </c>
      <c r="Q1240" s="15">
        <v>0.06</v>
      </c>
      <c r="R1240" s="16">
        <f t="shared" si="97"/>
        <v>9217.5</v>
      </c>
      <c r="S1240" s="15">
        <v>0</v>
      </c>
      <c r="T1240" s="15">
        <v>0</v>
      </c>
      <c r="U1240" s="17">
        <f t="shared" si="98"/>
        <v>9217.5</v>
      </c>
      <c r="V1240" s="12" t="s">
        <v>63</v>
      </c>
      <c r="W1240" s="12">
        <v>156</v>
      </c>
    </row>
    <row r="1241" spans="4:23" s="12" customFormat="1" ht="30.75" customHeight="1" thickTop="1" thickBot="1" x14ac:dyDescent="0.35">
      <c r="D1241" s="10"/>
      <c r="G1241" s="13">
        <f t="shared" si="99"/>
        <v>1240</v>
      </c>
      <c r="H1241" s="18">
        <v>46008</v>
      </c>
      <c r="I1241" s="15" t="s">
        <v>65</v>
      </c>
      <c r="J1241" s="15">
        <v>7800</v>
      </c>
      <c r="K1241" s="15">
        <v>60</v>
      </c>
      <c r="L1241" s="15">
        <v>7332</v>
      </c>
      <c r="M1241" s="16">
        <f t="shared" si="95"/>
        <v>122.2</v>
      </c>
      <c r="N1241" s="15">
        <v>0</v>
      </c>
      <c r="O1241" s="16">
        <f t="shared" si="96"/>
        <v>7800</v>
      </c>
      <c r="P1241" s="15" t="s">
        <v>18</v>
      </c>
      <c r="Q1241" s="15">
        <v>0.06</v>
      </c>
      <c r="R1241" s="16">
        <f t="shared" si="97"/>
        <v>468</v>
      </c>
      <c r="S1241" s="15">
        <v>0</v>
      </c>
      <c r="T1241" s="15">
        <v>0</v>
      </c>
      <c r="U1241" s="17">
        <f t="shared" si="98"/>
        <v>468</v>
      </c>
      <c r="V1241" s="12" t="s">
        <v>63</v>
      </c>
      <c r="W1241" s="12">
        <v>156</v>
      </c>
    </row>
    <row r="1242" spans="4:23" s="12" customFormat="1" ht="30.75" customHeight="1" thickTop="1" thickBot="1" x14ac:dyDescent="0.35">
      <c r="D1242" s="10"/>
      <c r="G1242" s="13">
        <f t="shared" si="99"/>
        <v>1241</v>
      </c>
      <c r="H1242" s="18">
        <v>46008</v>
      </c>
      <c r="I1242" s="15" t="s">
        <v>22</v>
      </c>
      <c r="J1242" s="15">
        <v>2692.5</v>
      </c>
      <c r="K1242" s="15">
        <v>10</v>
      </c>
      <c r="L1242" s="15">
        <v>2530.9499999999998</v>
      </c>
      <c r="M1242" s="16">
        <f t="shared" si="95"/>
        <v>253.09499999999997</v>
      </c>
      <c r="N1242" s="15">
        <v>0</v>
      </c>
      <c r="O1242" s="16">
        <f t="shared" si="96"/>
        <v>2692.5</v>
      </c>
      <c r="P1242" s="15" t="s">
        <v>18</v>
      </c>
      <c r="Q1242" s="15">
        <v>0.06</v>
      </c>
      <c r="R1242" s="16">
        <f t="shared" si="97"/>
        <v>161.54999999999998</v>
      </c>
      <c r="S1242" s="15">
        <v>0</v>
      </c>
      <c r="T1242" s="15">
        <v>0</v>
      </c>
      <c r="U1242" s="17">
        <f t="shared" si="98"/>
        <v>161.54999999999998</v>
      </c>
      <c r="V1242" s="12" t="s">
        <v>63</v>
      </c>
      <c r="W1242" s="12">
        <v>156</v>
      </c>
    </row>
    <row r="1243" spans="4:23" s="12" customFormat="1" ht="30.75" customHeight="1" thickTop="1" thickBot="1" x14ac:dyDescent="0.35">
      <c r="D1243" s="10"/>
      <c r="G1243" s="13">
        <f t="shared" si="99"/>
        <v>1242</v>
      </c>
      <c r="H1243" s="18">
        <v>46008</v>
      </c>
      <c r="I1243" s="15" t="s">
        <v>23</v>
      </c>
      <c r="J1243" s="15">
        <v>19200</v>
      </c>
      <c r="K1243" s="15">
        <v>100</v>
      </c>
      <c r="L1243" s="15">
        <v>18048</v>
      </c>
      <c r="M1243" s="16">
        <f t="shared" si="95"/>
        <v>180.48</v>
      </c>
      <c r="N1243" s="15">
        <v>0</v>
      </c>
      <c r="O1243" s="16">
        <f t="shared" si="96"/>
        <v>19200</v>
      </c>
      <c r="P1243" s="15" t="s">
        <v>18</v>
      </c>
      <c r="Q1243" s="15">
        <v>0.06</v>
      </c>
      <c r="R1243" s="16">
        <f t="shared" si="97"/>
        <v>1152</v>
      </c>
      <c r="S1243" s="15">
        <v>0</v>
      </c>
      <c r="T1243" s="15">
        <v>0</v>
      </c>
      <c r="U1243" s="17">
        <f t="shared" si="98"/>
        <v>1152</v>
      </c>
      <c r="V1243" s="12" t="s">
        <v>63</v>
      </c>
      <c r="W1243" s="12">
        <v>156</v>
      </c>
    </row>
    <row r="1244" spans="4:23" s="12" customFormat="1" ht="30.75" customHeight="1" thickTop="1" thickBot="1" x14ac:dyDescent="0.35">
      <c r="D1244" s="10"/>
      <c r="G1244" s="13">
        <f t="shared" si="99"/>
        <v>1243</v>
      </c>
      <c r="H1244" s="18">
        <v>46008</v>
      </c>
      <c r="I1244" s="15" t="s">
        <v>31</v>
      </c>
      <c r="J1244" s="15">
        <v>3840</v>
      </c>
      <c r="K1244" s="15">
        <v>20</v>
      </c>
      <c r="L1244" s="15">
        <v>3609.6</v>
      </c>
      <c r="M1244" s="16">
        <f t="shared" si="95"/>
        <v>180.48</v>
      </c>
      <c r="N1244" s="15">
        <v>0</v>
      </c>
      <c r="O1244" s="16">
        <f t="shared" si="96"/>
        <v>3840</v>
      </c>
      <c r="P1244" s="15" t="s">
        <v>18</v>
      </c>
      <c r="Q1244" s="15">
        <v>0.06</v>
      </c>
      <c r="R1244" s="16">
        <f t="shared" si="97"/>
        <v>230.39999999999998</v>
      </c>
      <c r="S1244" s="15">
        <v>0</v>
      </c>
      <c r="T1244" s="15">
        <v>0</v>
      </c>
      <c r="U1244" s="17">
        <f t="shared" si="98"/>
        <v>230.39999999999998</v>
      </c>
      <c r="V1244" s="12" t="s">
        <v>63</v>
      </c>
      <c r="W1244" s="12">
        <v>156</v>
      </c>
    </row>
    <row r="1245" spans="4:23" s="12" customFormat="1" ht="30.75" customHeight="1" thickTop="1" thickBot="1" x14ac:dyDescent="0.35">
      <c r="D1245" s="10"/>
      <c r="G1245" s="13">
        <f t="shared" si="99"/>
        <v>1244</v>
      </c>
      <c r="H1245" s="18">
        <v>46011</v>
      </c>
      <c r="I1245" s="15" t="s">
        <v>30</v>
      </c>
      <c r="J1245" s="15">
        <v>107537.5</v>
      </c>
      <c r="K1245" s="15">
        <v>350</v>
      </c>
      <c r="L1245" s="15">
        <v>74093.34</v>
      </c>
      <c r="M1245" s="16">
        <f t="shared" si="95"/>
        <v>211.69525714285714</v>
      </c>
      <c r="N1245" s="15">
        <v>0</v>
      </c>
      <c r="O1245" s="16">
        <f t="shared" si="96"/>
        <v>107537.5</v>
      </c>
      <c r="P1245" s="15" t="s">
        <v>18</v>
      </c>
      <c r="Q1245" s="15">
        <v>0.06</v>
      </c>
      <c r="R1245" s="16">
        <f t="shared" si="97"/>
        <v>6452.25</v>
      </c>
      <c r="S1245" s="15">
        <v>0</v>
      </c>
      <c r="T1245" s="15">
        <v>0</v>
      </c>
      <c r="U1245" s="17">
        <f t="shared" si="98"/>
        <v>6452.25</v>
      </c>
      <c r="V1245" s="12" t="s">
        <v>63</v>
      </c>
      <c r="W1245" s="12">
        <v>157</v>
      </c>
    </row>
    <row r="1246" spans="4:23" s="12" customFormat="1" ht="30.75" customHeight="1" thickTop="1" thickBot="1" x14ac:dyDescent="0.35">
      <c r="D1246" s="10"/>
      <c r="G1246" s="13">
        <f t="shared" si="99"/>
        <v>1245</v>
      </c>
      <c r="H1246" s="18">
        <v>46011</v>
      </c>
      <c r="I1246" s="15" t="s">
        <v>17</v>
      </c>
      <c r="J1246" s="15">
        <v>199712.5</v>
      </c>
      <c r="K1246" s="15">
        <v>650</v>
      </c>
      <c r="L1246" s="15">
        <v>137601.91</v>
      </c>
      <c r="M1246" s="16">
        <f t="shared" si="95"/>
        <v>211.69524615384617</v>
      </c>
      <c r="N1246" s="15">
        <v>0</v>
      </c>
      <c r="O1246" s="16">
        <f t="shared" si="96"/>
        <v>199712.5</v>
      </c>
      <c r="P1246" s="15" t="s">
        <v>18</v>
      </c>
      <c r="Q1246" s="15">
        <v>0.06</v>
      </c>
      <c r="R1246" s="16">
        <f t="shared" si="97"/>
        <v>11982.75</v>
      </c>
      <c r="S1246" s="15">
        <v>0</v>
      </c>
      <c r="T1246" s="15">
        <v>0</v>
      </c>
      <c r="U1246" s="17">
        <f t="shared" si="98"/>
        <v>11982.75</v>
      </c>
      <c r="V1246" s="12" t="s">
        <v>63</v>
      </c>
      <c r="W1246" s="12">
        <v>157</v>
      </c>
    </row>
    <row r="1247" spans="4:23" s="12" customFormat="1" ht="30.75" customHeight="1" thickTop="1" thickBot="1" x14ac:dyDescent="0.35">
      <c r="D1247" s="10"/>
      <c r="G1247" s="13">
        <f t="shared" si="99"/>
        <v>1246</v>
      </c>
      <c r="H1247" s="18">
        <v>46011</v>
      </c>
      <c r="I1247" s="15" t="s">
        <v>65</v>
      </c>
      <c r="J1247" s="15">
        <v>5200</v>
      </c>
      <c r="K1247" s="15">
        <v>40</v>
      </c>
      <c r="L1247" s="15">
        <v>4888</v>
      </c>
      <c r="M1247" s="16">
        <f t="shared" si="95"/>
        <v>122.2</v>
      </c>
      <c r="N1247" s="15">
        <v>0</v>
      </c>
      <c r="O1247" s="16">
        <f t="shared" si="96"/>
        <v>5200</v>
      </c>
      <c r="P1247" s="15" t="s">
        <v>18</v>
      </c>
      <c r="Q1247" s="15">
        <v>0.06</v>
      </c>
      <c r="R1247" s="16">
        <f t="shared" si="97"/>
        <v>312</v>
      </c>
      <c r="S1247" s="15">
        <v>0</v>
      </c>
      <c r="T1247" s="15">
        <v>0</v>
      </c>
      <c r="U1247" s="17">
        <f t="shared" si="98"/>
        <v>312</v>
      </c>
      <c r="V1247" s="12" t="s">
        <v>63</v>
      </c>
      <c r="W1247" s="12">
        <v>157</v>
      </c>
    </row>
    <row r="1248" spans="4:23" s="12" customFormat="1" ht="30.75" customHeight="1" thickTop="1" thickBot="1" x14ac:dyDescent="0.35">
      <c r="D1248" s="10"/>
      <c r="G1248" s="13">
        <f t="shared" si="99"/>
        <v>1247</v>
      </c>
      <c r="H1248" s="18">
        <v>46011</v>
      </c>
      <c r="I1248" s="36" t="s">
        <v>20</v>
      </c>
      <c r="J1248" s="15">
        <v>624</v>
      </c>
      <c r="K1248" s="15">
        <v>2</v>
      </c>
      <c r="L1248" s="15">
        <v>586.55999999999995</v>
      </c>
      <c r="M1248" s="16">
        <f t="shared" si="95"/>
        <v>293.27999999999997</v>
      </c>
      <c r="N1248" s="15">
        <v>0</v>
      </c>
      <c r="O1248" s="16">
        <f t="shared" si="96"/>
        <v>624</v>
      </c>
      <c r="P1248" s="15" t="s">
        <v>18</v>
      </c>
      <c r="Q1248" s="15">
        <v>0.06</v>
      </c>
      <c r="R1248" s="16">
        <f t="shared" si="97"/>
        <v>37.44</v>
      </c>
      <c r="S1248" s="15">
        <v>0</v>
      </c>
      <c r="T1248" s="15">
        <v>0</v>
      </c>
      <c r="U1248" s="17">
        <f t="shared" si="98"/>
        <v>37.44</v>
      </c>
      <c r="V1248" s="12" t="s">
        <v>63</v>
      </c>
      <c r="W1248" s="12">
        <v>157</v>
      </c>
    </row>
    <row r="1249" spans="4:23" s="12" customFormat="1" ht="30.75" customHeight="1" thickTop="1" thickBot="1" x14ac:dyDescent="0.35">
      <c r="D1249" s="10"/>
      <c r="G1249" s="13">
        <f t="shared" si="99"/>
        <v>1248</v>
      </c>
      <c r="H1249" s="18">
        <v>46011</v>
      </c>
      <c r="I1249" s="36" t="s">
        <v>66</v>
      </c>
      <c r="J1249" s="15">
        <v>2472</v>
      </c>
      <c r="K1249" s="15">
        <v>5</v>
      </c>
      <c r="L1249" s="15">
        <v>2323.6799999999998</v>
      </c>
      <c r="M1249" s="16">
        <f t="shared" si="95"/>
        <v>464.73599999999999</v>
      </c>
      <c r="N1249" s="15">
        <v>0</v>
      </c>
      <c r="O1249" s="16">
        <f t="shared" si="96"/>
        <v>2472</v>
      </c>
      <c r="P1249" s="15" t="s">
        <v>18</v>
      </c>
      <c r="Q1249" s="15">
        <v>0.06</v>
      </c>
      <c r="R1249" s="16">
        <f t="shared" si="97"/>
        <v>148.32</v>
      </c>
      <c r="S1249" s="15">
        <v>0</v>
      </c>
      <c r="T1249" s="15">
        <v>0</v>
      </c>
      <c r="U1249" s="17">
        <f t="shared" si="98"/>
        <v>148.32</v>
      </c>
      <c r="V1249" s="12" t="s">
        <v>63</v>
      </c>
      <c r="W1249" s="12">
        <v>157</v>
      </c>
    </row>
    <row r="1250" spans="4:23" s="12" customFormat="1" ht="30.75" customHeight="1" thickTop="1" thickBot="1" x14ac:dyDescent="0.35">
      <c r="D1250" s="10"/>
      <c r="G1250" s="13">
        <f t="shared" si="99"/>
        <v>1249</v>
      </c>
      <c r="H1250" s="18">
        <v>46011</v>
      </c>
      <c r="I1250" s="15" t="s">
        <v>22</v>
      </c>
      <c r="J1250" s="15">
        <v>2692.5</v>
      </c>
      <c r="K1250" s="15">
        <v>10</v>
      </c>
      <c r="L1250" s="15">
        <v>2530.9499999999998</v>
      </c>
      <c r="M1250" s="16">
        <f t="shared" si="95"/>
        <v>253.09499999999997</v>
      </c>
      <c r="N1250" s="15">
        <v>0</v>
      </c>
      <c r="O1250" s="16">
        <f t="shared" si="96"/>
        <v>2692.5</v>
      </c>
      <c r="P1250" s="15" t="s">
        <v>18</v>
      </c>
      <c r="Q1250" s="15">
        <v>0.06</v>
      </c>
      <c r="R1250" s="16">
        <f t="shared" si="97"/>
        <v>161.54999999999998</v>
      </c>
      <c r="S1250" s="15">
        <v>0</v>
      </c>
      <c r="T1250" s="15">
        <v>0</v>
      </c>
      <c r="U1250" s="17">
        <f t="shared" si="98"/>
        <v>161.54999999999998</v>
      </c>
      <c r="V1250" s="12" t="s">
        <v>63</v>
      </c>
      <c r="W1250" s="12">
        <v>157</v>
      </c>
    </row>
    <row r="1251" spans="4:23" s="12" customFormat="1" ht="30.75" customHeight="1" thickTop="1" thickBot="1" x14ac:dyDescent="0.35">
      <c r="D1251" s="10"/>
      <c r="G1251" s="13">
        <f t="shared" si="99"/>
        <v>1250</v>
      </c>
      <c r="H1251" s="18">
        <v>46011</v>
      </c>
      <c r="I1251" s="15" t="s">
        <v>23</v>
      </c>
      <c r="J1251" s="15">
        <v>48000</v>
      </c>
      <c r="K1251" s="15">
        <v>250</v>
      </c>
      <c r="L1251" s="15">
        <v>45120</v>
      </c>
      <c r="M1251" s="16">
        <f t="shared" si="95"/>
        <v>180.48</v>
      </c>
      <c r="N1251" s="15">
        <v>0</v>
      </c>
      <c r="O1251" s="16">
        <f t="shared" si="96"/>
        <v>48000</v>
      </c>
      <c r="P1251" s="15" t="s">
        <v>18</v>
      </c>
      <c r="Q1251" s="15">
        <v>0.06</v>
      </c>
      <c r="R1251" s="16">
        <f t="shared" si="97"/>
        <v>2880</v>
      </c>
      <c r="S1251" s="15">
        <v>0</v>
      </c>
      <c r="T1251" s="15">
        <v>0</v>
      </c>
      <c r="U1251" s="17">
        <f t="shared" si="98"/>
        <v>2880</v>
      </c>
      <c r="V1251" s="12" t="s">
        <v>63</v>
      </c>
      <c r="W1251" s="12">
        <v>157</v>
      </c>
    </row>
    <row r="1252" spans="4:23" s="12" customFormat="1" ht="30.75" customHeight="1" thickTop="1" thickBot="1" x14ac:dyDescent="0.35">
      <c r="D1252" s="10"/>
      <c r="G1252" s="13">
        <f t="shared" si="99"/>
        <v>1251</v>
      </c>
      <c r="H1252" s="18">
        <v>46011</v>
      </c>
      <c r="I1252" s="15" t="s">
        <v>24</v>
      </c>
      <c r="J1252" s="15">
        <v>14626.8</v>
      </c>
      <c r="K1252" s="15">
        <v>45</v>
      </c>
      <c r="L1252" s="15">
        <v>13749.19</v>
      </c>
      <c r="M1252" s="16">
        <f t="shared" si="95"/>
        <v>305.53755555555557</v>
      </c>
      <c r="N1252" s="15">
        <v>0</v>
      </c>
      <c r="O1252" s="16">
        <f t="shared" si="96"/>
        <v>14626.8</v>
      </c>
      <c r="P1252" s="15" t="s">
        <v>18</v>
      </c>
      <c r="Q1252" s="15">
        <v>0.06</v>
      </c>
      <c r="R1252" s="16">
        <f t="shared" si="97"/>
        <v>877.60799999999995</v>
      </c>
      <c r="S1252" s="15">
        <v>0</v>
      </c>
      <c r="T1252" s="15">
        <v>0</v>
      </c>
      <c r="U1252" s="17">
        <f t="shared" si="98"/>
        <v>877.60799999999995</v>
      </c>
      <c r="V1252" s="12" t="s">
        <v>63</v>
      </c>
      <c r="W1252" s="12">
        <v>157</v>
      </c>
    </row>
    <row r="1253" spans="4:23" s="12" customFormat="1" ht="30.75" customHeight="1" thickTop="1" thickBot="1" x14ac:dyDescent="0.35">
      <c r="D1253" s="10"/>
      <c r="G1253" s="13">
        <f t="shared" si="99"/>
        <v>1252</v>
      </c>
      <c r="H1253" s="18">
        <v>46011</v>
      </c>
      <c r="I1253" s="15" t="s">
        <v>31</v>
      </c>
      <c r="J1253" s="15">
        <v>5760</v>
      </c>
      <c r="K1253" s="15">
        <v>30</v>
      </c>
      <c r="L1253" s="15">
        <v>5414.4</v>
      </c>
      <c r="M1253" s="16">
        <f t="shared" si="95"/>
        <v>180.48</v>
      </c>
      <c r="N1253" s="15">
        <v>0</v>
      </c>
      <c r="O1253" s="16">
        <f t="shared" si="96"/>
        <v>5760</v>
      </c>
      <c r="P1253" s="15" t="s">
        <v>18</v>
      </c>
      <c r="Q1253" s="15">
        <v>0.06</v>
      </c>
      <c r="R1253" s="16">
        <f t="shared" si="97"/>
        <v>345.59999999999997</v>
      </c>
      <c r="S1253" s="15">
        <v>0</v>
      </c>
      <c r="T1253" s="15">
        <v>0</v>
      </c>
      <c r="U1253" s="17">
        <f t="shared" si="98"/>
        <v>345.59999999999997</v>
      </c>
      <c r="V1253" s="12" t="s">
        <v>63</v>
      </c>
      <c r="W1253" s="12">
        <v>157</v>
      </c>
    </row>
    <row r="1254" spans="4:23" s="12" customFormat="1" ht="30.75" customHeight="1" thickTop="1" thickBot="1" x14ac:dyDescent="0.35">
      <c r="D1254" s="10"/>
      <c r="G1254" s="37">
        <f t="shared" si="99"/>
        <v>1253</v>
      </c>
      <c r="H1254" s="18">
        <v>46011</v>
      </c>
      <c r="I1254" s="15" t="s">
        <v>30</v>
      </c>
      <c r="J1254" s="15">
        <v>76812.5</v>
      </c>
      <c r="K1254" s="15">
        <v>250</v>
      </c>
      <c r="L1254" s="15">
        <v>52923.81</v>
      </c>
      <c r="M1254" s="16">
        <f t="shared" si="95"/>
        <v>211.69523999999998</v>
      </c>
      <c r="N1254" s="15">
        <v>0</v>
      </c>
      <c r="O1254" s="16">
        <f t="shared" si="96"/>
        <v>76812.5</v>
      </c>
      <c r="P1254" s="15" t="s">
        <v>18</v>
      </c>
      <c r="Q1254" s="15">
        <v>0.06</v>
      </c>
      <c r="R1254" s="16">
        <f t="shared" si="97"/>
        <v>4608.75</v>
      </c>
      <c r="S1254" s="15">
        <v>0</v>
      </c>
      <c r="T1254" s="15">
        <v>0</v>
      </c>
      <c r="U1254" s="17">
        <f t="shared" si="98"/>
        <v>4608.75</v>
      </c>
      <c r="V1254" s="12" t="s">
        <v>63</v>
      </c>
      <c r="W1254" s="12">
        <v>158</v>
      </c>
    </row>
    <row r="1255" spans="4:23" s="12" customFormat="1" ht="30.75" customHeight="1" thickTop="1" thickBot="1" x14ac:dyDescent="0.35">
      <c r="D1255" s="10"/>
      <c r="G1255" s="13">
        <f t="shared" si="99"/>
        <v>1254</v>
      </c>
      <c r="H1255" s="18">
        <v>46013</v>
      </c>
      <c r="I1255" s="15" t="s">
        <v>17</v>
      </c>
      <c r="J1255" s="15">
        <v>122900</v>
      </c>
      <c r="K1255" s="15">
        <v>400</v>
      </c>
      <c r="L1255" s="15">
        <v>84678.1</v>
      </c>
      <c r="M1255" s="16">
        <f t="shared" si="95"/>
        <v>211.69525000000002</v>
      </c>
      <c r="N1255" s="15">
        <v>0</v>
      </c>
      <c r="O1255" s="16">
        <f t="shared" si="96"/>
        <v>122900</v>
      </c>
      <c r="P1255" s="15" t="s">
        <v>18</v>
      </c>
      <c r="Q1255" s="15">
        <v>0.06</v>
      </c>
      <c r="R1255" s="16">
        <f t="shared" si="97"/>
        <v>7374</v>
      </c>
      <c r="S1255" s="15">
        <v>0</v>
      </c>
      <c r="T1255" s="15">
        <v>0</v>
      </c>
      <c r="U1255" s="17">
        <f t="shared" si="98"/>
        <v>7374</v>
      </c>
      <c r="V1255" s="12" t="s">
        <v>63</v>
      </c>
      <c r="W1255" s="12">
        <v>158</v>
      </c>
    </row>
    <row r="1256" spans="4:23" s="12" customFormat="1" ht="30.75" customHeight="1" thickTop="1" thickBot="1" x14ac:dyDescent="0.35">
      <c r="D1256" s="10"/>
      <c r="G1256" s="13">
        <f t="shared" si="99"/>
        <v>1255</v>
      </c>
      <c r="H1256" s="18">
        <v>46013</v>
      </c>
      <c r="I1256" s="15" t="s">
        <v>65</v>
      </c>
      <c r="J1256" s="15">
        <v>2860</v>
      </c>
      <c r="K1256" s="15">
        <v>22</v>
      </c>
      <c r="L1256" s="15">
        <v>2688.4</v>
      </c>
      <c r="M1256" s="16">
        <f t="shared" si="95"/>
        <v>122.2</v>
      </c>
      <c r="N1256" s="15">
        <v>0</v>
      </c>
      <c r="O1256" s="16">
        <f t="shared" si="96"/>
        <v>2860</v>
      </c>
      <c r="P1256" s="15" t="s">
        <v>18</v>
      </c>
      <c r="Q1256" s="15">
        <v>0.06</v>
      </c>
      <c r="R1256" s="16">
        <f t="shared" si="97"/>
        <v>171.6</v>
      </c>
      <c r="S1256" s="15">
        <v>0</v>
      </c>
      <c r="T1256" s="15">
        <v>0</v>
      </c>
      <c r="U1256" s="17">
        <f t="shared" si="98"/>
        <v>171.6</v>
      </c>
      <c r="V1256" s="12" t="s">
        <v>63</v>
      </c>
      <c r="W1256" s="12">
        <v>158</v>
      </c>
    </row>
    <row r="1257" spans="4:23" s="12" customFormat="1" ht="30.75" customHeight="1" thickTop="1" thickBot="1" x14ac:dyDescent="0.35">
      <c r="D1257" s="10"/>
      <c r="G1257" s="13">
        <f t="shared" si="99"/>
        <v>1256</v>
      </c>
      <c r="H1257" s="18">
        <v>46013</v>
      </c>
      <c r="I1257" s="36" t="s">
        <v>20</v>
      </c>
      <c r="J1257" s="15">
        <v>936.4</v>
      </c>
      <c r="K1257" s="15">
        <v>3</v>
      </c>
      <c r="L1257" s="15">
        <v>879.84</v>
      </c>
      <c r="M1257" s="16">
        <f t="shared" si="95"/>
        <v>293.28000000000003</v>
      </c>
      <c r="N1257" s="15">
        <v>0</v>
      </c>
      <c r="O1257" s="16">
        <f t="shared" si="96"/>
        <v>936.4</v>
      </c>
      <c r="P1257" s="15" t="s">
        <v>18</v>
      </c>
      <c r="Q1257" s="15">
        <v>0.06</v>
      </c>
      <c r="R1257" s="16">
        <f t="shared" si="97"/>
        <v>56.183999999999997</v>
      </c>
      <c r="S1257" s="15">
        <v>0</v>
      </c>
      <c r="T1257" s="15">
        <v>0</v>
      </c>
      <c r="U1257" s="17">
        <f t="shared" si="98"/>
        <v>56.183999999999997</v>
      </c>
      <c r="V1257" s="12" t="s">
        <v>63</v>
      </c>
      <c r="W1257" s="12">
        <v>158</v>
      </c>
    </row>
    <row r="1258" spans="4:23" s="12" customFormat="1" ht="30.75" customHeight="1" thickTop="1" thickBot="1" x14ac:dyDescent="0.35">
      <c r="D1258" s="10"/>
      <c r="G1258" s="13">
        <f t="shared" si="99"/>
        <v>1257</v>
      </c>
      <c r="H1258" s="18">
        <v>46013</v>
      </c>
      <c r="I1258" s="36" t="s">
        <v>66</v>
      </c>
      <c r="J1258" s="15">
        <v>494</v>
      </c>
      <c r="K1258" s="15">
        <v>1</v>
      </c>
      <c r="L1258" s="15">
        <v>464.74</v>
      </c>
      <c r="M1258" s="16">
        <f t="shared" si="95"/>
        <v>464.74</v>
      </c>
      <c r="N1258" s="15">
        <v>0</v>
      </c>
      <c r="O1258" s="16">
        <f t="shared" si="96"/>
        <v>494</v>
      </c>
      <c r="P1258" s="15" t="s">
        <v>18</v>
      </c>
      <c r="Q1258" s="15">
        <v>0.06</v>
      </c>
      <c r="R1258" s="16">
        <f t="shared" si="97"/>
        <v>29.64</v>
      </c>
      <c r="S1258" s="15">
        <v>0</v>
      </c>
      <c r="T1258" s="15">
        <v>0</v>
      </c>
      <c r="U1258" s="17">
        <f t="shared" si="98"/>
        <v>29.64</v>
      </c>
      <c r="V1258" s="12" t="s">
        <v>63</v>
      </c>
      <c r="W1258" s="12">
        <v>158</v>
      </c>
    </row>
    <row r="1259" spans="4:23" s="12" customFormat="1" ht="30.75" customHeight="1" thickTop="1" thickBot="1" x14ac:dyDescent="0.35">
      <c r="D1259" s="10"/>
      <c r="G1259" s="13">
        <f t="shared" si="99"/>
        <v>1258</v>
      </c>
      <c r="H1259" s="18">
        <v>46013</v>
      </c>
      <c r="I1259" s="15" t="s">
        <v>22</v>
      </c>
      <c r="J1259" s="15">
        <v>2692.5</v>
      </c>
      <c r="K1259" s="15">
        <v>10</v>
      </c>
      <c r="L1259" s="15">
        <v>2530.9499999999998</v>
      </c>
      <c r="M1259" s="16">
        <f t="shared" si="95"/>
        <v>253.09499999999997</v>
      </c>
      <c r="N1259" s="15">
        <v>0</v>
      </c>
      <c r="O1259" s="16">
        <f t="shared" si="96"/>
        <v>2692.5</v>
      </c>
      <c r="P1259" s="15" t="s">
        <v>18</v>
      </c>
      <c r="Q1259" s="15">
        <v>0.06</v>
      </c>
      <c r="R1259" s="16">
        <f t="shared" si="97"/>
        <v>161.54999999999998</v>
      </c>
      <c r="S1259" s="15">
        <v>0</v>
      </c>
      <c r="T1259" s="15">
        <v>0</v>
      </c>
      <c r="U1259" s="17">
        <f t="shared" si="98"/>
        <v>161.54999999999998</v>
      </c>
      <c r="V1259" s="12" t="s">
        <v>63</v>
      </c>
      <c r="W1259" s="12">
        <v>158</v>
      </c>
    </row>
    <row r="1260" spans="4:23" s="12" customFormat="1" ht="30.75" customHeight="1" thickTop="1" thickBot="1" x14ac:dyDescent="0.35">
      <c r="D1260" s="10"/>
      <c r="G1260" s="13">
        <f t="shared" si="99"/>
        <v>1259</v>
      </c>
      <c r="H1260" s="18">
        <v>46013</v>
      </c>
      <c r="I1260" s="15" t="s">
        <v>23</v>
      </c>
      <c r="J1260" s="15">
        <v>48000</v>
      </c>
      <c r="K1260" s="15">
        <v>250</v>
      </c>
      <c r="L1260" s="15">
        <v>45120</v>
      </c>
      <c r="M1260" s="16">
        <f t="shared" si="95"/>
        <v>180.48</v>
      </c>
      <c r="N1260" s="15">
        <v>0</v>
      </c>
      <c r="O1260" s="16">
        <f t="shared" si="96"/>
        <v>48000</v>
      </c>
      <c r="P1260" s="15" t="s">
        <v>18</v>
      </c>
      <c r="Q1260" s="15">
        <v>0.06</v>
      </c>
      <c r="R1260" s="16">
        <f t="shared" si="97"/>
        <v>2880</v>
      </c>
      <c r="S1260" s="15">
        <v>0</v>
      </c>
      <c r="T1260" s="15">
        <v>0</v>
      </c>
      <c r="U1260" s="17">
        <f t="shared" si="98"/>
        <v>2880</v>
      </c>
      <c r="V1260" s="12" t="s">
        <v>63</v>
      </c>
      <c r="W1260" s="12">
        <v>158</v>
      </c>
    </row>
    <row r="1261" spans="4:23" s="12" customFormat="1" ht="30.75" customHeight="1" thickTop="1" thickBot="1" x14ac:dyDescent="0.35">
      <c r="D1261" s="10"/>
      <c r="G1261" s="13">
        <f t="shared" si="99"/>
        <v>1260</v>
      </c>
      <c r="H1261" s="18">
        <v>46013</v>
      </c>
      <c r="I1261" s="15" t="s">
        <v>24</v>
      </c>
      <c r="J1261" s="15">
        <v>13001.6</v>
      </c>
      <c r="K1261" s="15">
        <v>40</v>
      </c>
      <c r="L1261" s="15">
        <v>12221.5</v>
      </c>
      <c r="M1261" s="16">
        <f t="shared" si="95"/>
        <v>305.53750000000002</v>
      </c>
      <c r="N1261" s="15">
        <v>0</v>
      </c>
      <c r="O1261" s="16">
        <f t="shared" si="96"/>
        <v>13001.6</v>
      </c>
      <c r="P1261" s="15" t="s">
        <v>18</v>
      </c>
      <c r="Q1261" s="15">
        <v>0.06</v>
      </c>
      <c r="R1261" s="16">
        <f t="shared" si="97"/>
        <v>780.096</v>
      </c>
      <c r="S1261" s="15">
        <v>0</v>
      </c>
      <c r="T1261" s="15">
        <v>0</v>
      </c>
      <c r="U1261" s="17">
        <f t="shared" si="98"/>
        <v>780.096</v>
      </c>
      <c r="V1261" s="12" t="s">
        <v>63</v>
      </c>
      <c r="W1261" s="12">
        <v>158</v>
      </c>
    </row>
    <row r="1262" spans="4:23" s="12" customFormat="1" ht="30.75" customHeight="1" thickTop="1" thickBot="1" x14ac:dyDescent="0.35">
      <c r="D1262" s="10"/>
      <c r="G1262" s="13">
        <f t="shared" si="99"/>
        <v>1261</v>
      </c>
      <c r="H1262" s="18">
        <v>46013</v>
      </c>
      <c r="I1262" s="15" t="s">
        <v>31</v>
      </c>
      <c r="J1262" s="15">
        <v>7680</v>
      </c>
      <c r="K1262" s="15">
        <v>40</v>
      </c>
      <c r="L1262" s="15">
        <v>7219.2</v>
      </c>
      <c r="M1262" s="16">
        <f t="shared" si="95"/>
        <v>180.48</v>
      </c>
      <c r="N1262" s="15">
        <v>0</v>
      </c>
      <c r="O1262" s="16">
        <f t="shared" si="96"/>
        <v>7680</v>
      </c>
      <c r="P1262" s="15" t="s">
        <v>18</v>
      </c>
      <c r="Q1262" s="15">
        <v>0.06</v>
      </c>
      <c r="R1262" s="16">
        <f t="shared" si="97"/>
        <v>460.79999999999995</v>
      </c>
      <c r="S1262" s="15">
        <v>0</v>
      </c>
      <c r="T1262" s="15">
        <v>0</v>
      </c>
      <c r="U1262" s="17">
        <f t="shared" si="98"/>
        <v>460.79999999999995</v>
      </c>
      <c r="V1262" s="12" t="s">
        <v>63</v>
      </c>
      <c r="W1262" s="12">
        <v>158</v>
      </c>
    </row>
    <row r="1263" spans="4:23" s="12" customFormat="1" ht="30.75" customHeight="1" thickTop="1" thickBot="1" x14ac:dyDescent="0.35">
      <c r="D1263" s="10"/>
      <c r="G1263" s="13">
        <f t="shared" si="99"/>
        <v>1262</v>
      </c>
      <c r="H1263" s="18">
        <v>46015</v>
      </c>
      <c r="I1263" s="15" t="s">
        <v>30</v>
      </c>
      <c r="J1263" s="15">
        <v>61450</v>
      </c>
      <c r="K1263" s="15">
        <v>200</v>
      </c>
      <c r="L1263" s="15">
        <v>42339.05</v>
      </c>
      <c r="M1263" s="16">
        <f t="shared" si="95"/>
        <v>211.69525000000002</v>
      </c>
      <c r="N1263" s="15">
        <v>0</v>
      </c>
      <c r="O1263" s="16">
        <f t="shared" si="96"/>
        <v>61450</v>
      </c>
      <c r="P1263" s="15" t="s">
        <v>18</v>
      </c>
      <c r="Q1263" s="15">
        <v>0.06</v>
      </c>
      <c r="R1263" s="16">
        <f t="shared" si="97"/>
        <v>3687</v>
      </c>
      <c r="S1263" s="15">
        <v>0</v>
      </c>
      <c r="T1263" s="15">
        <v>0</v>
      </c>
      <c r="U1263" s="17">
        <f t="shared" si="98"/>
        <v>3687</v>
      </c>
      <c r="V1263" s="12" t="s">
        <v>63</v>
      </c>
      <c r="W1263" s="12">
        <v>159</v>
      </c>
    </row>
    <row r="1264" spans="4:23" s="12" customFormat="1" ht="30.75" customHeight="1" thickTop="1" thickBot="1" x14ac:dyDescent="0.35">
      <c r="D1264" s="10"/>
      <c r="G1264" s="13">
        <f t="shared" si="99"/>
        <v>1263</v>
      </c>
      <c r="H1264" s="18">
        <v>46015</v>
      </c>
      <c r="I1264" s="15" t="s">
        <v>17</v>
      </c>
      <c r="J1264" s="15">
        <v>92175</v>
      </c>
      <c r="K1264" s="15">
        <v>300</v>
      </c>
      <c r="L1264" s="15">
        <v>63508.58</v>
      </c>
      <c r="M1264" s="16">
        <f t="shared" si="95"/>
        <v>211.69526666666667</v>
      </c>
      <c r="N1264" s="15">
        <v>0</v>
      </c>
      <c r="O1264" s="16">
        <f t="shared" si="96"/>
        <v>92175</v>
      </c>
      <c r="P1264" s="15" t="s">
        <v>18</v>
      </c>
      <c r="Q1264" s="15">
        <v>0.06</v>
      </c>
      <c r="R1264" s="16">
        <f t="shared" si="97"/>
        <v>5530.5</v>
      </c>
      <c r="S1264" s="15">
        <v>0</v>
      </c>
      <c r="T1264" s="15">
        <v>0</v>
      </c>
      <c r="U1264" s="17">
        <f t="shared" si="98"/>
        <v>5530.5</v>
      </c>
      <c r="V1264" s="12" t="s">
        <v>63</v>
      </c>
      <c r="W1264" s="12">
        <v>159</v>
      </c>
    </row>
    <row r="1265" spans="4:23" s="12" customFormat="1" ht="30.75" customHeight="1" thickTop="1" thickBot="1" x14ac:dyDescent="0.35">
      <c r="D1265" s="10"/>
      <c r="G1265" s="13">
        <f t="shared" si="99"/>
        <v>1264</v>
      </c>
      <c r="H1265" s="18">
        <v>46015</v>
      </c>
      <c r="I1265" s="15" t="s">
        <v>67</v>
      </c>
      <c r="J1265" s="15">
        <v>1965</v>
      </c>
      <c r="K1265" s="15">
        <v>9</v>
      </c>
      <c r="L1265" s="15">
        <v>1690.42</v>
      </c>
      <c r="M1265" s="16">
        <f t="shared" si="95"/>
        <v>187.82444444444445</v>
      </c>
      <c r="N1265" s="15">
        <v>0</v>
      </c>
      <c r="O1265" s="16">
        <f t="shared" si="96"/>
        <v>1965</v>
      </c>
      <c r="P1265" s="15" t="s">
        <v>18</v>
      </c>
      <c r="Q1265" s="15">
        <v>0.06</v>
      </c>
      <c r="R1265" s="16">
        <f t="shared" si="97"/>
        <v>117.89999999999999</v>
      </c>
      <c r="S1265" s="15">
        <v>0</v>
      </c>
      <c r="T1265" s="15">
        <v>0</v>
      </c>
      <c r="U1265" s="17">
        <f t="shared" si="98"/>
        <v>117.89999999999999</v>
      </c>
      <c r="V1265" s="12" t="s">
        <v>63</v>
      </c>
      <c r="W1265" s="12">
        <v>159</v>
      </c>
    </row>
    <row r="1266" spans="4:23" s="12" customFormat="1" ht="30.75" customHeight="1" thickTop="1" thickBot="1" x14ac:dyDescent="0.35">
      <c r="D1266" s="10"/>
      <c r="G1266" s="13">
        <f t="shared" si="99"/>
        <v>1265</v>
      </c>
      <c r="H1266" s="18">
        <v>46015</v>
      </c>
      <c r="I1266" s="15" t="s">
        <v>68</v>
      </c>
      <c r="J1266" s="15">
        <v>3275</v>
      </c>
      <c r="K1266" s="15">
        <v>15</v>
      </c>
      <c r="L1266" s="15">
        <v>1965.6</v>
      </c>
      <c r="M1266" s="16">
        <f t="shared" si="95"/>
        <v>131.04</v>
      </c>
      <c r="N1266" s="15">
        <v>0</v>
      </c>
      <c r="O1266" s="16">
        <f t="shared" si="96"/>
        <v>3275</v>
      </c>
      <c r="P1266" s="15" t="s">
        <v>18</v>
      </c>
      <c r="Q1266" s="15">
        <v>0.06</v>
      </c>
      <c r="R1266" s="16">
        <f t="shared" si="97"/>
        <v>196.5</v>
      </c>
      <c r="S1266" s="15">
        <v>0</v>
      </c>
      <c r="T1266" s="15">
        <v>0</v>
      </c>
      <c r="U1266" s="17">
        <f t="shared" si="98"/>
        <v>196.5</v>
      </c>
      <c r="V1266" s="12" t="s">
        <v>63</v>
      </c>
      <c r="W1266" s="12">
        <v>159</v>
      </c>
    </row>
    <row r="1267" spans="4:23" s="12" customFormat="1" ht="30.75" customHeight="1" thickTop="1" thickBot="1" x14ac:dyDescent="0.35">
      <c r="D1267" s="10"/>
      <c r="G1267" s="13">
        <f t="shared" si="99"/>
        <v>1266</v>
      </c>
      <c r="H1267" s="18">
        <v>46015</v>
      </c>
      <c r="I1267" s="36" t="s">
        <v>20</v>
      </c>
      <c r="J1267" s="15">
        <v>936</v>
      </c>
      <c r="K1267" s="15">
        <v>3</v>
      </c>
      <c r="L1267" s="15">
        <v>879.84</v>
      </c>
      <c r="M1267" s="16">
        <f t="shared" si="95"/>
        <v>293.28000000000003</v>
      </c>
      <c r="N1267" s="15">
        <v>0</v>
      </c>
      <c r="O1267" s="16">
        <f t="shared" si="96"/>
        <v>936</v>
      </c>
      <c r="P1267" s="15" t="s">
        <v>18</v>
      </c>
      <c r="Q1267" s="15">
        <v>0.06</v>
      </c>
      <c r="R1267" s="16">
        <f t="shared" si="97"/>
        <v>56.16</v>
      </c>
      <c r="S1267" s="15">
        <v>0</v>
      </c>
      <c r="T1267" s="15">
        <v>0</v>
      </c>
      <c r="U1267" s="17">
        <f t="shared" si="98"/>
        <v>56.16</v>
      </c>
      <c r="V1267" s="12" t="s">
        <v>63</v>
      </c>
      <c r="W1267" s="12">
        <v>159</v>
      </c>
    </row>
    <row r="1268" spans="4:23" s="12" customFormat="1" ht="30.75" customHeight="1" thickTop="1" thickBot="1" x14ac:dyDescent="0.35">
      <c r="D1268" s="10"/>
      <c r="G1268" s="13">
        <f t="shared" si="99"/>
        <v>1267</v>
      </c>
      <c r="H1268" s="18">
        <v>46015</v>
      </c>
      <c r="I1268" s="36" t="s">
        <v>66</v>
      </c>
      <c r="J1268" s="15">
        <v>2472</v>
      </c>
      <c r="K1268" s="15">
        <v>5</v>
      </c>
      <c r="L1268" s="15">
        <v>2323.6799999999998</v>
      </c>
      <c r="M1268" s="16">
        <f t="shared" si="95"/>
        <v>464.73599999999999</v>
      </c>
      <c r="N1268" s="15">
        <v>0</v>
      </c>
      <c r="O1268" s="16">
        <f t="shared" si="96"/>
        <v>2472</v>
      </c>
      <c r="P1268" s="15" t="s">
        <v>18</v>
      </c>
      <c r="Q1268" s="15">
        <v>0.06</v>
      </c>
      <c r="R1268" s="16">
        <f t="shared" si="97"/>
        <v>148.32</v>
      </c>
      <c r="S1268" s="15">
        <v>0</v>
      </c>
      <c r="T1268" s="15">
        <v>0</v>
      </c>
      <c r="U1268" s="17">
        <f t="shared" si="98"/>
        <v>148.32</v>
      </c>
      <c r="V1268" s="12" t="s">
        <v>63</v>
      </c>
      <c r="W1268" s="12">
        <v>159</v>
      </c>
    </row>
    <row r="1269" spans="4:23" s="12" customFormat="1" ht="30.75" customHeight="1" thickTop="1" thickBot="1" x14ac:dyDescent="0.35">
      <c r="D1269" s="10"/>
      <c r="G1269" s="13">
        <f t="shared" si="99"/>
        <v>1268</v>
      </c>
      <c r="H1269" s="18">
        <v>46015</v>
      </c>
      <c r="I1269" s="15" t="s">
        <v>22</v>
      </c>
      <c r="J1269" s="15">
        <v>5385</v>
      </c>
      <c r="K1269" s="15">
        <v>20</v>
      </c>
      <c r="L1269" s="15">
        <v>5061.8999999999996</v>
      </c>
      <c r="M1269" s="16">
        <f t="shared" si="95"/>
        <v>253.09499999999997</v>
      </c>
      <c r="N1269" s="15">
        <v>0</v>
      </c>
      <c r="O1269" s="16">
        <f t="shared" si="96"/>
        <v>5385</v>
      </c>
      <c r="P1269" s="15" t="s">
        <v>18</v>
      </c>
      <c r="Q1269" s="15">
        <v>0.06</v>
      </c>
      <c r="R1269" s="16">
        <f t="shared" si="97"/>
        <v>323.09999999999997</v>
      </c>
      <c r="S1269" s="15">
        <v>0</v>
      </c>
      <c r="T1269" s="15">
        <v>0</v>
      </c>
      <c r="U1269" s="17">
        <f t="shared" si="98"/>
        <v>323.09999999999997</v>
      </c>
      <c r="V1269" s="12" t="s">
        <v>63</v>
      </c>
      <c r="W1269" s="12">
        <v>159</v>
      </c>
    </row>
    <row r="1270" spans="4:23" s="12" customFormat="1" ht="30.75" customHeight="1" thickTop="1" thickBot="1" x14ac:dyDescent="0.35">
      <c r="D1270" s="10"/>
      <c r="G1270" s="13">
        <f t="shared" si="99"/>
        <v>1269</v>
      </c>
      <c r="H1270" s="18">
        <v>46015</v>
      </c>
      <c r="I1270" s="15" t="s">
        <v>23</v>
      </c>
      <c r="J1270" s="15">
        <v>48000</v>
      </c>
      <c r="K1270" s="15">
        <v>250</v>
      </c>
      <c r="L1270" s="15">
        <v>45120</v>
      </c>
      <c r="M1270" s="16">
        <f t="shared" si="95"/>
        <v>180.48</v>
      </c>
      <c r="N1270" s="15">
        <v>0</v>
      </c>
      <c r="O1270" s="16">
        <f t="shared" si="96"/>
        <v>48000</v>
      </c>
      <c r="P1270" s="15" t="s">
        <v>18</v>
      </c>
      <c r="Q1270" s="15">
        <v>0.06</v>
      </c>
      <c r="R1270" s="16">
        <f t="shared" si="97"/>
        <v>2880</v>
      </c>
      <c r="S1270" s="15">
        <v>0</v>
      </c>
      <c r="T1270" s="15">
        <v>0</v>
      </c>
      <c r="U1270" s="17">
        <f t="shared" si="98"/>
        <v>2880</v>
      </c>
      <c r="V1270" s="12" t="s">
        <v>63</v>
      </c>
      <c r="W1270" s="12">
        <v>159</v>
      </c>
    </row>
    <row r="1271" spans="4:23" s="12" customFormat="1" ht="30.75" customHeight="1" thickTop="1" thickBot="1" x14ac:dyDescent="0.35">
      <c r="D1271" s="10"/>
      <c r="G1271" s="13">
        <f t="shared" si="99"/>
        <v>1270</v>
      </c>
      <c r="H1271" s="18">
        <v>46015</v>
      </c>
      <c r="I1271" s="15" t="s">
        <v>24</v>
      </c>
      <c r="J1271" s="15">
        <v>9751.2000000000007</v>
      </c>
      <c r="K1271" s="15">
        <v>30</v>
      </c>
      <c r="L1271" s="15">
        <v>9166.1299999999992</v>
      </c>
      <c r="M1271" s="16">
        <f t="shared" si="95"/>
        <v>305.53766666666667</v>
      </c>
      <c r="N1271" s="15">
        <v>0</v>
      </c>
      <c r="O1271" s="16">
        <f t="shared" si="96"/>
        <v>9751.2000000000007</v>
      </c>
      <c r="P1271" s="15" t="s">
        <v>18</v>
      </c>
      <c r="Q1271" s="15">
        <v>0.06</v>
      </c>
      <c r="R1271" s="16">
        <f t="shared" si="97"/>
        <v>585.072</v>
      </c>
      <c r="S1271" s="15">
        <v>0</v>
      </c>
      <c r="T1271" s="15">
        <v>0</v>
      </c>
      <c r="U1271" s="17">
        <f t="shared" si="98"/>
        <v>585.072</v>
      </c>
      <c r="V1271" s="12" t="s">
        <v>63</v>
      </c>
      <c r="W1271" s="12">
        <v>159</v>
      </c>
    </row>
    <row r="1272" spans="4:23" s="12" customFormat="1" ht="30.75" customHeight="1" thickTop="1" thickBot="1" x14ac:dyDescent="0.35">
      <c r="D1272" s="10"/>
      <c r="G1272" s="13">
        <f t="shared" si="99"/>
        <v>1271</v>
      </c>
      <c r="H1272" s="18">
        <v>46015</v>
      </c>
      <c r="I1272" s="15" t="s">
        <v>31</v>
      </c>
      <c r="J1272" s="15">
        <v>7680</v>
      </c>
      <c r="K1272" s="15">
        <v>40</v>
      </c>
      <c r="L1272" s="15">
        <v>7219.2</v>
      </c>
      <c r="M1272" s="16">
        <f t="shared" si="95"/>
        <v>180.48</v>
      </c>
      <c r="N1272" s="15">
        <v>0</v>
      </c>
      <c r="O1272" s="16">
        <f t="shared" si="96"/>
        <v>7680</v>
      </c>
      <c r="P1272" s="15" t="s">
        <v>18</v>
      </c>
      <c r="Q1272" s="15">
        <v>0.06</v>
      </c>
      <c r="R1272" s="16">
        <f t="shared" si="97"/>
        <v>460.79999999999995</v>
      </c>
      <c r="S1272" s="15">
        <v>0</v>
      </c>
      <c r="T1272" s="15">
        <v>0</v>
      </c>
      <c r="U1272" s="17">
        <f t="shared" si="98"/>
        <v>460.79999999999995</v>
      </c>
      <c r="V1272" s="12" t="s">
        <v>63</v>
      </c>
      <c r="W1272" s="12">
        <v>159</v>
      </c>
    </row>
    <row r="1273" spans="4:23" s="12" customFormat="1" ht="30.75" customHeight="1" thickTop="1" thickBot="1" x14ac:dyDescent="0.35">
      <c r="D1273" s="10"/>
      <c r="G1273" s="13">
        <f t="shared" si="99"/>
        <v>1272</v>
      </c>
      <c r="H1273" s="18">
        <v>46015</v>
      </c>
      <c r="I1273" s="15" t="s">
        <v>36</v>
      </c>
      <c r="J1273" s="15">
        <v>650.08000000000004</v>
      </c>
      <c r="K1273" s="15">
        <v>2</v>
      </c>
      <c r="L1273" s="15">
        <v>611.08000000000004</v>
      </c>
      <c r="M1273" s="16">
        <f t="shared" si="95"/>
        <v>305.54000000000002</v>
      </c>
      <c r="N1273" s="15">
        <v>0</v>
      </c>
      <c r="O1273" s="16">
        <f t="shared" si="96"/>
        <v>650.08000000000004</v>
      </c>
      <c r="P1273" s="15" t="s">
        <v>18</v>
      </c>
      <c r="Q1273" s="15">
        <v>0.06</v>
      </c>
      <c r="R1273" s="16">
        <f t="shared" si="97"/>
        <v>39.004800000000003</v>
      </c>
      <c r="S1273" s="15">
        <v>0</v>
      </c>
      <c r="T1273" s="15">
        <v>0</v>
      </c>
      <c r="U1273" s="17">
        <f t="shared" si="98"/>
        <v>39.004800000000003</v>
      </c>
      <c r="V1273" s="12" t="s">
        <v>63</v>
      </c>
      <c r="W1273" s="12">
        <v>159</v>
      </c>
    </row>
    <row r="1274" spans="4:23" s="12" customFormat="1" ht="30.75" customHeight="1" thickTop="1" thickBot="1" x14ac:dyDescent="0.35">
      <c r="D1274" s="10"/>
      <c r="G1274" s="13">
        <f t="shared" si="99"/>
        <v>1273</v>
      </c>
      <c r="H1274" s="18">
        <v>46018</v>
      </c>
      <c r="I1274" s="15" t="s">
        <v>30</v>
      </c>
      <c r="J1274" s="15">
        <v>55305</v>
      </c>
      <c r="K1274" s="15">
        <v>180</v>
      </c>
      <c r="L1274" s="15">
        <v>38105.15</v>
      </c>
      <c r="M1274" s="16">
        <f t="shared" si="95"/>
        <v>211.69527777777779</v>
      </c>
      <c r="N1274" s="15">
        <v>0</v>
      </c>
      <c r="O1274" s="16">
        <f t="shared" si="96"/>
        <v>55305</v>
      </c>
      <c r="P1274" s="15" t="s">
        <v>18</v>
      </c>
      <c r="Q1274" s="15">
        <v>0.06</v>
      </c>
      <c r="R1274" s="16">
        <f t="shared" si="97"/>
        <v>3318.2999999999997</v>
      </c>
      <c r="S1274" s="15">
        <v>0</v>
      </c>
      <c r="T1274" s="15">
        <v>0</v>
      </c>
      <c r="U1274" s="17">
        <f t="shared" si="98"/>
        <v>3318.2999999999997</v>
      </c>
      <c r="V1274" s="12" t="s">
        <v>63</v>
      </c>
      <c r="W1274" s="12">
        <v>160</v>
      </c>
    </row>
    <row r="1275" spans="4:23" s="12" customFormat="1" ht="30.75" customHeight="1" thickTop="1" thickBot="1" x14ac:dyDescent="0.35">
      <c r="D1275" s="10"/>
      <c r="G1275" s="13">
        <f t="shared" si="99"/>
        <v>1274</v>
      </c>
      <c r="H1275" s="18">
        <v>46018</v>
      </c>
      <c r="I1275" s="15" t="s">
        <v>17</v>
      </c>
      <c r="J1275" s="15">
        <v>113682.5</v>
      </c>
      <c r="K1275" s="15">
        <v>370</v>
      </c>
      <c r="L1275" s="15">
        <v>78327.240000000005</v>
      </c>
      <c r="M1275" s="16">
        <f t="shared" si="95"/>
        <v>211.69524324324325</v>
      </c>
      <c r="N1275" s="15">
        <v>0</v>
      </c>
      <c r="O1275" s="16">
        <f t="shared" si="96"/>
        <v>113682.5</v>
      </c>
      <c r="P1275" s="15" t="s">
        <v>18</v>
      </c>
      <c r="Q1275" s="15">
        <v>0.06</v>
      </c>
      <c r="R1275" s="16">
        <f t="shared" si="97"/>
        <v>6820.95</v>
      </c>
      <c r="S1275" s="15">
        <v>0</v>
      </c>
      <c r="T1275" s="15">
        <v>0</v>
      </c>
      <c r="U1275" s="17">
        <f t="shared" si="98"/>
        <v>6820.95</v>
      </c>
      <c r="V1275" s="12" t="s">
        <v>63</v>
      </c>
      <c r="W1275" s="12">
        <v>160</v>
      </c>
    </row>
    <row r="1276" spans="4:23" s="12" customFormat="1" ht="30.75" customHeight="1" thickTop="1" thickBot="1" x14ac:dyDescent="0.35">
      <c r="D1276" s="10"/>
      <c r="G1276" s="13">
        <f t="shared" si="99"/>
        <v>1275</v>
      </c>
      <c r="H1276" s="18">
        <v>46018</v>
      </c>
      <c r="I1276" s="36" t="s">
        <v>20</v>
      </c>
      <c r="J1276" s="15">
        <v>936</v>
      </c>
      <c r="K1276" s="15">
        <v>3</v>
      </c>
      <c r="L1276" s="15">
        <v>879.84</v>
      </c>
      <c r="M1276" s="16">
        <f t="shared" si="95"/>
        <v>293.28000000000003</v>
      </c>
      <c r="N1276" s="15">
        <v>0</v>
      </c>
      <c r="O1276" s="16">
        <f t="shared" si="96"/>
        <v>936</v>
      </c>
      <c r="P1276" s="15" t="s">
        <v>18</v>
      </c>
      <c r="Q1276" s="15">
        <v>0.06</v>
      </c>
      <c r="R1276" s="16">
        <f t="shared" si="97"/>
        <v>56.16</v>
      </c>
      <c r="S1276" s="15">
        <v>0</v>
      </c>
      <c r="T1276" s="15">
        <v>0</v>
      </c>
      <c r="U1276" s="17">
        <f t="shared" si="98"/>
        <v>56.16</v>
      </c>
      <c r="V1276" s="12" t="s">
        <v>63</v>
      </c>
      <c r="W1276" s="12">
        <v>160</v>
      </c>
    </row>
    <row r="1277" spans="4:23" s="12" customFormat="1" ht="30.75" customHeight="1" thickTop="1" thickBot="1" x14ac:dyDescent="0.35">
      <c r="D1277" s="10"/>
      <c r="G1277" s="13">
        <f t="shared" si="99"/>
        <v>1276</v>
      </c>
      <c r="H1277" s="18">
        <v>46018</v>
      </c>
      <c r="I1277" s="36" t="s">
        <v>66</v>
      </c>
      <c r="J1277" s="15">
        <v>1977.6</v>
      </c>
      <c r="K1277" s="15">
        <v>4</v>
      </c>
      <c r="L1277" s="15">
        <v>1858.94</v>
      </c>
      <c r="M1277" s="16">
        <f t="shared" si="95"/>
        <v>464.73500000000001</v>
      </c>
      <c r="N1277" s="15">
        <v>0</v>
      </c>
      <c r="O1277" s="16">
        <f t="shared" si="96"/>
        <v>1977.6</v>
      </c>
      <c r="P1277" s="15" t="s">
        <v>18</v>
      </c>
      <c r="Q1277" s="15">
        <v>0.06</v>
      </c>
      <c r="R1277" s="16">
        <f t="shared" si="97"/>
        <v>118.65599999999999</v>
      </c>
      <c r="S1277" s="15">
        <v>0</v>
      </c>
      <c r="T1277" s="15">
        <v>0</v>
      </c>
      <c r="U1277" s="17">
        <f t="shared" si="98"/>
        <v>118.65599999999999</v>
      </c>
      <c r="V1277" s="12" t="s">
        <v>63</v>
      </c>
      <c r="W1277" s="12">
        <v>160</v>
      </c>
    </row>
    <row r="1278" spans="4:23" s="12" customFormat="1" ht="30.75" customHeight="1" thickTop="1" thickBot="1" x14ac:dyDescent="0.35">
      <c r="D1278" s="10"/>
      <c r="G1278" s="13">
        <f t="shared" si="99"/>
        <v>1277</v>
      </c>
      <c r="H1278" s="18">
        <v>46018</v>
      </c>
      <c r="I1278" s="15" t="s">
        <v>22</v>
      </c>
      <c r="J1278" s="15">
        <v>4038.75</v>
      </c>
      <c r="K1278" s="15">
        <v>15</v>
      </c>
      <c r="L1278" s="15">
        <v>3796.43</v>
      </c>
      <c r="M1278" s="16">
        <f t="shared" si="95"/>
        <v>253.09533333333331</v>
      </c>
      <c r="N1278" s="15">
        <v>0</v>
      </c>
      <c r="O1278" s="16">
        <f t="shared" si="96"/>
        <v>4038.75</v>
      </c>
      <c r="P1278" s="15" t="s">
        <v>18</v>
      </c>
      <c r="Q1278" s="15">
        <v>0.06</v>
      </c>
      <c r="R1278" s="16">
        <f t="shared" si="97"/>
        <v>242.32499999999999</v>
      </c>
      <c r="S1278" s="15">
        <v>0</v>
      </c>
      <c r="T1278" s="15">
        <v>0</v>
      </c>
      <c r="U1278" s="17">
        <f t="shared" si="98"/>
        <v>242.32499999999999</v>
      </c>
      <c r="V1278" s="12" t="s">
        <v>63</v>
      </c>
      <c r="W1278" s="12">
        <v>160</v>
      </c>
    </row>
    <row r="1279" spans="4:23" s="12" customFormat="1" ht="30.75" customHeight="1" thickTop="1" thickBot="1" x14ac:dyDescent="0.35">
      <c r="D1279" s="10"/>
      <c r="G1279" s="13">
        <f t="shared" si="99"/>
        <v>1278</v>
      </c>
      <c r="H1279" s="18">
        <v>46018</v>
      </c>
      <c r="I1279" s="15" t="s">
        <v>23</v>
      </c>
      <c r="J1279" s="15">
        <v>28800</v>
      </c>
      <c r="K1279" s="15">
        <v>150</v>
      </c>
      <c r="L1279" s="15">
        <v>27072</v>
      </c>
      <c r="M1279" s="16">
        <f t="shared" si="95"/>
        <v>180.48</v>
      </c>
      <c r="N1279" s="15">
        <v>0</v>
      </c>
      <c r="O1279" s="16">
        <f t="shared" si="96"/>
        <v>28800</v>
      </c>
      <c r="P1279" s="15" t="s">
        <v>18</v>
      </c>
      <c r="Q1279" s="15">
        <v>0.06</v>
      </c>
      <c r="R1279" s="16">
        <f t="shared" si="97"/>
        <v>1728</v>
      </c>
      <c r="S1279" s="15">
        <v>0</v>
      </c>
      <c r="T1279" s="15">
        <v>0</v>
      </c>
      <c r="U1279" s="17">
        <f t="shared" si="98"/>
        <v>1728</v>
      </c>
      <c r="V1279" s="12" t="s">
        <v>63</v>
      </c>
      <c r="W1279" s="12">
        <v>160</v>
      </c>
    </row>
    <row r="1280" spans="4:23" s="12" customFormat="1" ht="30.75" customHeight="1" thickTop="1" thickBot="1" x14ac:dyDescent="0.35">
      <c r="D1280" s="10"/>
      <c r="G1280" s="13">
        <f t="shared" si="99"/>
        <v>1279</v>
      </c>
      <c r="H1280" s="18">
        <v>46018</v>
      </c>
      <c r="I1280" s="15" t="s">
        <v>24</v>
      </c>
      <c r="J1280" s="15">
        <v>6500.8</v>
      </c>
      <c r="K1280" s="15">
        <v>20</v>
      </c>
      <c r="L1280" s="15">
        <v>6110.75</v>
      </c>
      <c r="M1280" s="16">
        <f t="shared" si="95"/>
        <v>305.53750000000002</v>
      </c>
      <c r="N1280" s="15">
        <v>0</v>
      </c>
      <c r="O1280" s="16">
        <f t="shared" si="96"/>
        <v>6500.8</v>
      </c>
      <c r="P1280" s="15" t="s">
        <v>18</v>
      </c>
      <c r="Q1280" s="15">
        <v>0.06</v>
      </c>
      <c r="R1280" s="16">
        <f t="shared" si="97"/>
        <v>390.048</v>
      </c>
      <c r="S1280" s="15">
        <v>0</v>
      </c>
      <c r="T1280" s="15">
        <v>0</v>
      </c>
      <c r="U1280" s="17">
        <f t="shared" si="98"/>
        <v>390.048</v>
      </c>
      <c r="V1280" s="12" t="s">
        <v>63</v>
      </c>
      <c r="W1280" s="12">
        <v>160</v>
      </c>
    </row>
    <row r="1281" spans="4:23" s="12" customFormat="1" ht="30.75" customHeight="1" thickTop="1" thickBot="1" x14ac:dyDescent="0.35">
      <c r="D1281" s="10"/>
      <c r="G1281" s="13">
        <f t="shared" si="99"/>
        <v>1280</v>
      </c>
      <c r="H1281" s="18">
        <v>46018</v>
      </c>
      <c r="I1281" s="15" t="s">
        <v>31</v>
      </c>
      <c r="J1281" s="15">
        <v>5760</v>
      </c>
      <c r="K1281" s="15">
        <v>30</v>
      </c>
      <c r="L1281" s="15">
        <v>5414.4</v>
      </c>
      <c r="M1281" s="16">
        <f t="shared" si="95"/>
        <v>180.48</v>
      </c>
      <c r="N1281" s="15">
        <v>0</v>
      </c>
      <c r="O1281" s="16">
        <f t="shared" si="96"/>
        <v>5760</v>
      </c>
      <c r="P1281" s="15" t="s">
        <v>18</v>
      </c>
      <c r="Q1281" s="15">
        <v>0.06</v>
      </c>
      <c r="R1281" s="16">
        <f t="shared" si="97"/>
        <v>345.59999999999997</v>
      </c>
      <c r="S1281" s="15">
        <v>0</v>
      </c>
      <c r="T1281" s="15">
        <v>0</v>
      </c>
      <c r="U1281" s="17">
        <f t="shared" si="98"/>
        <v>345.59999999999997</v>
      </c>
      <c r="V1281" s="12" t="s">
        <v>63</v>
      </c>
      <c r="W1281" s="12">
        <v>160</v>
      </c>
    </row>
    <row r="1282" spans="4:23" s="12" customFormat="1" ht="30.75" customHeight="1" thickTop="1" thickBot="1" x14ac:dyDescent="0.35">
      <c r="D1282" s="10"/>
      <c r="G1282" s="13">
        <f t="shared" si="99"/>
        <v>1281</v>
      </c>
      <c r="H1282" s="18">
        <v>46018</v>
      </c>
      <c r="I1282" s="15" t="s">
        <v>36</v>
      </c>
      <c r="J1282" s="15">
        <v>650.08000000000004</v>
      </c>
      <c r="K1282" s="15">
        <v>2</v>
      </c>
      <c r="L1282" s="15">
        <v>611.08000000000004</v>
      </c>
      <c r="M1282" s="16">
        <f t="shared" ref="M1282:M1295" si="100">IFERROR(L1282/K1282,"")</f>
        <v>305.54000000000002</v>
      </c>
      <c r="N1282" s="15">
        <v>0</v>
      </c>
      <c r="O1282" s="16">
        <f t="shared" ref="O1282:O1295" si="101">J1282-N1282</f>
        <v>650.08000000000004</v>
      </c>
      <c r="P1282" s="15" t="s">
        <v>18</v>
      </c>
      <c r="Q1282" s="15">
        <v>0.06</v>
      </c>
      <c r="R1282" s="16">
        <f t="shared" ref="R1282:R1295" si="102">J1282*Q1282</f>
        <v>39.004800000000003</v>
      </c>
      <c r="S1282" s="15">
        <v>0</v>
      </c>
      <c r="T1282" s="15">
        <v>0</v>
      </c>
      <c r="U1282" s="17">
        <f t="shared" ref="U1282:U1295" si="103">T1282+S1282+R1282</f>
        <v>39.004800000000003</v>
      </c>
      <c r="V1282" s="12" t="s">
        <v>63</v>
      </c>
      <c r="W1282" s="12">
        <v>160</v>
      </c>
    </row>
    <row r="1283" spans="4:23" s="12" customFormat="1" ht="30.75" customHeight="1" thickTop="1" thickBot="1" x14ac:dyDescent="0.35">
      <c r="D1283" s="10"/>
      <c r="G1283" s="13">
        <f t="shared" si="99"/>
        <v>1282</v>
      </c>
      <c r="H1283" s="18">
        <v>46018</v>
      </c>
      <c r="I1283" s="15" t="s">
        <v>17</v>
      </c>
      <c r="J1283" s="15">
        <v>38406.25</v>
      </c>
      <c r="K1283" s="15">
        <v>125</v>
      </c>
      <c r="L1283" s="15">
        <v>26461.91</v>
      </c>
      <c r="M1283" s="16">
        <f t="shared" si="100"/>
        <v>211.69528</v>
      </c>
      <c r="N1283" s="15">
        <v>0</v>
      </c>
      <c r="O1283" s="16">
        <f t="shared" si="101"/>
        <v>38406.25</v>
      </c>
      <c r="P1283" s="15" t="s">
        <v>18</v>
      </c>
      <c r="Q1283" s="15">
        <v>0.06</v>
      </c>
      <c r="R1283" s="16">
        <f t="shared" si="102"/>
        <v>2304.375</v>
      </c>
      <c r="S1283" s="15">
        <v>0</v>
      </c>
      <c r="T1283" s="15">
        <v>0</v>
      </c>
      <c r="U1283" s="17">
        <f t="shared" si="103"/>
        <v>2304.375</v>
      </c>
      <c r="V1283" s="12" t="s">
        <v>63</v>
      </c>
      <c r="W1283" s="12">
        <v>160</v>
      </c>
    </row>
    <row r="1284" spans="4:23" s="12" customFormat="1" ht="30.75" customHeight="1" thickTop="1" thickBot="1" x14ac:dyDescent="0.35">
      <c r="D1284" s="10"/>
      <c r="G1284" s="13">
        <f t="shared" ref="G1284:G1295" si="104">G1283+1</f>
        <v>1283</v>
      </c>
      <c r="H1284" s="18">
        <v>46018</v>
      </c>
      <c r="I1284" s="15" t="s">
        <v>65</v>
      </c>
      <c r="J1284" s="15">
        <v>19500</v>
      </c>
      <c r="K1284" s="15">
        <v>150</v>
      </c>
      <c r="L1284" s="15">
        <v>18330</v>
      </c>
      <c r="M1284" s="16">
        <f t="shared" si="100"/>
        <v>122.2</v>
      </c>
      <c r="N1284" s="15">
        <v>0</v>
      </c>
      <c r="O1284" s="16">
        <f t="shared" si="101"/>
        <v>19500</v>
      </c>
      <c r="P1284" s="15" t="s">
        <v>18</v>
      </c>
      <c r="Q1284" s="15">
        <v>0.06</v>
      </c>
      <c r="R1284" s="16">
        <f t="shared" si="102"/>
        <v>1170</v>
      </c>
      <c r="S1284" s="15">
        <v>0</v>
      </c>
      <c r="T1284" s="15">
        <v>0</v>
      </c>
      <c r="U1284" s="17">
        <f t="shared" si="103"/>
        <v>1170</v>
      </c>
      <c r="V1284" s="12" t="s">
        <v>63</v>
      </c>
      <c r="W1284" s="12">
        <v>160</v>
      </c>
    </row>
    <row r="1285" spans="4:23" s="12" customFormat="1" ht="30.75" customHeight="1" thickTop="1" thickBot="1" x14ac:dyDescent="0.35">
      <c r="D1285" s="10"/>
      <c r="G1285" s="13">
        <f t="shared" si="104"/>
        <v>1284</v>
      </c>
      <c r="H1285" s="18">
        <v>46020</v>
      </c>
      <c r="I1285" s="15" t="s">
        <v>30</v>
      </c>
      <c r="J1285" s="15">
        <v>93711.35</v>
      </c>
      <c r="K1285" s="15">
        <v>305</v>
      </c>
      <c r="L1285" s="15">
        <v>64576.05</v>
      </c>
      <c r="M1285" s="16">
        <f t="shared" si="100"/>
        <v>211.72475409836068</v>
      </c>
      <c r="N1285" s="15">
        <v>0</v>
      </c>
      <c r="O1285" s="16">
        <f t="shared" si="101"/>
        <v>93711.35</v>
      </c>
      <c r="P1285" s="15" t="s">
        <v>18</v>
      </c>
      <c r="Q1285" s="15">
        <v>0.06</v>
      </c>
      <c r="R1285" s="16">
        <f t="shared" si="102"/>
        <v>5622.6810000000005</v>
      </c>
      <c r="S1285" s="15">
        <v>0</v>
      </c>
      <c r="T1285" s="15">
        <v>0</v>
      </c>
      <c r="U1285" s="17">
        <f t="shared" si="103"/>
        <v>5622.6810000000005</v>
      </c>
      <c r="V1285" s="12" t="s">
        <v>63</v>
      </c>
      <c r="W1285" s="12">
        <v>161</v>
      </c>
    </row>
    <row r="1286" spans="4:23" s="12" customFormat="1" ht="30.75" customHeight="1" thickTop="1" thickBot="1" x14ac:dyDescent="0.35">
      <c r="D1286" s="10"/>
      <c r="G1286" s="13">
        <f t="shared" si="104"/>
        <v>1285</v>
      </c>
      <c r="H1286" s="18">
        <v>46020</v>
      </c>
      <c r="I1286" s="15" t="s">
        <v>17</v>
      </c>
      <c r="J1286" s="15">
        <v>199712.5</v>
      </c>
      <c r="K1286" s="15">
        <v>650</v>
      </c>
      <c r="L1286" s="15">
        <v>137601.91</v>
      </c>
      <c r="M1286" s="16">
        <f t="shared" si="100"/>
        <v>211.69524615384617</v>
      </c>
      <c r="N1286" s="15">
        <v>0</v>
      </c>
      <c r="O1286" s="16">
        <f t="shared" si="101"/>
        <v>199712.5</v>
      </c>
      <c r="P1286" s="15" t="s">
        <v>18</v>
      </c>
      <c r="Q1286" s="15">
        <v>0.06</v>
      </c>
      <c r="R1286" s="16">
        <f t="shared" si="102"/>
        <v>11982.75</v>
      </c>
      <c r="S1286" s="15">
        <v>0</v>
      </c>
      <c r="T1286" s="15">
        <v>0</v>
      </c>
      <c r="U1286" s="17">
        <f t="shared" si="103"/>
        <v>11982.75</v>
      </c>
      <c r="V1286" s="12" t="s">
        <v>63</v>
      </c>
      <c r="W1286" s="12">
        <v>161</v>
      </c>
    </row>
    <row r="1287" spans="4:23" s="12" customFormat="1" ht="30.75" customHeight="1" thickTop="1" thickBot="1" x14ac:dyDescent="0.35">
      <c r="D1287" s="10"/>
      <c r="G1287" s="13">
        <f t="shared" si="104"/>
        <v>1286</v>
      </c>
      <c r="H1287" s="18">
        <v>46020</v>
      </c>
      <c r="I1287" s="36" t="s">
        <v>68</v>
      </c>
      <c r="J1287" s="15">
        <v>4368</v>
      </c>
      <c r="K1287" s="15">
        <v>20</v>
      </c>
      <c r="L1287" s="15">
        <v>2620.8000000000002</v>
      </c>
      <c r="M1287" s="16">
        <f t="shared" si="100"/>
        <v>131.04000000000002</v>
      </c>
      <c r="N1287" s="15">
        <v>0</v>
      </c>
      <c r="O1287" s="16">
        <f t="shared" si="101"/>
        <v>4368</v>
      </c>
      <c r="P1287" s="15" t="s">
        <v>18</v>
      </c>
      <c r="Q1287" s="15">
        <v>0.06</v>
      </c>
      <c r="R1287" s="16">
        <f t="shared" si="102"/>
        <v>262.08</v>
      </c>
      <c r="S1287" s="15">
        <v>0</v>
      </c>
      <c r="T1287" s="15">
        <v>0</v>
      </c>
      <c r="U1287" s="17">
        <f t="shared" si="103"/>
        <v>262.08</v>
      </c>
      <c r="V1287" s="12" t="s">
        <v>63</v>
      </c>
      <c r="W1287" s="12">
        <v>161</v>
      </c>
    </row>
    <row r="1288" spans="4:23" s="12" customFormat="1" ht="30.75" customHeight="1" thickTop="1" thickBot="1" x14ac:dyDescent="0.35">
      <c r="D1288" s="10"/>
      <c r="G1288" s="13">
        <f t="shared" si="104"/>
        <v>1287</v>
      </c>
      <c r="H1288" s="18">
        <v>46020</v>
      </c>
      <c r="I1288" s="36" t="s">
        <v>65</v>
      </c>
      <c r="J1288" s="15">
        <v>6500</v>
      </c>
      <c r="K1288" s="15">
        <v>50</v>
      </c>
      <c r="L1288" s="15">
        <v>6110</v>
      </c>
      <c r="M1288" s="16">
        <f t="shared" si="100"/>
        <v>122.2</v>
      </c>
      <c r="N1288" s="15">
        <v>0</v>
      </c>
      <c r="O1288" s="16">
        <f t="shared" si="101"/>
        <v>6500</v>
      </c>
      <c r="P1288" s="15" t="s">
        <v>18</v>
      </c>
      <c r="Q1288" s="15">
        <v>0.06</v>
      </c>
      <c r="R1288" s="16">
        <f t="shared" si="102"/>
        <v>390</v>
      </c>
      <c r="S1288" s="15">
        <v>0</v>
      </c>
      <c r="T1288" s="15">
        <v>0</v>
      </c>
      <c r="U1288" s="17">
        <f t="shared" si="103"/>
        <v>390</v>
      </c>
      <c r="V1288" s="12" t="s">
        <v>63</v>
      </c>
      <c r="W1288" s="12">
        <v>161</v>
      </c>
    </row>
    <row r="1289" spans="4:23" s="12" customFormat="1" ht="30.75" customHeight="1" thickTop="1" thickBot="1" x14ac:dyDescent="0.35">
      <c r="D1289" s="10"/>
      <c r="G1289" s="13">
        <f t="shared" si="104"/>
        <v>1288</v>
      </c>
      <c r="H1289" s="18">
        <v>46020</v>
      </c>
      <c r="I1289" s="36" t="s">
        <v>20</v>
      </c>
      <c r="J1289" s="15">
        <v>1560</v>
      </c>
      <c r="K1289" s="15">
        <v>5</v>
      </c>
      <c r="L1289" s="15">
        <v>1466.4</v>
      </c>
      <c r="M1289" s="16">
        <f t="shared" si="100"/>
        <v>293.28000000000003</v>
      </c>
      <c r="N1289" s="15">
        <v>0</v>
      </c>
      <c r="O1289" s="16">
        <f t="shared" si="101"/>
        <v>1560</v>
      </c>
      <c r="P1289" s="15" t="s">
        <v>18</v>
      </c>
      <c r="Q1289" s="15">
        <v>0.06</v>
      </c>
      <c r="R1289" s="16">
        <f t="shared" si="102"/>
        <v>93.6</v>
      </c>
      <c r="S1289" s="15">
        <v>0</v>
      </c>
      <c r="T1289" s="15">
        <v>0</v>
      </c>
      <c r="U1289" s="17">
        <f t="shared" si="103"/>
        <v>93.6</v>
      </c>
      <c r="V1289" s="12" t="s">
        <v>63</v>
      </c>
      <c r="W1289" s="12">
        <v>161</v>
      </c>
    </row>
    <row r="1290" spans="4:23" s="12" customFormat="1" ht="30.75" customHeight="1" thickTop="1" thickBot="1" x14ac:dyDescent="0.35">
      <c r="D1290" s="10"/>
      <c r="G1290" s="13">
        <f t="shared" si="104"/>
        <v>1289</v>
      </c>
      <c r="H1290" s="18">
        <v>46020</v>
      </c>
      <c r="I1290" s="36" t="s">
        <v>66</v>
      </c>
      <c r="J1290" s="15">
        <v>1483.2</v>
      </c>
      <c r="K1290" s="15">
        <v>3</v>
      </c>
      <c r="L1290" s="15">
        <v>1344.21</v>
      </c>
      <c r="M1290" s="16">
        <f t="shared" si="100"/>
        <v>448.07</v>
      </c>
      <c r="N1290" s="15">
        <v>0</v>
      </c>
      <c r="O1290" s="16">
        <f t="shared" si="101"/>
        <v>1483.2</v>
      </c>
      <c r="P1290" s="15" t="s">
        <v>18</v>
      </c>
      <c r="Q1290" s="15">
        <v>0.06</v>
      </c>
      <c r="R1290" s="16">
        <f t="shared" si="102"/>
        <v>88.992000000000004</v>
      </c>
      <c r="S1290" s="15">
        <v>0</v>
      </c>
      <c r="T1290" s="15">
        <v>0</v>
      </c>
      <c r="U1290" s="17">
        <f t="shared" si="103"/>
        <v>88.992000000000004</v>
      </c>
      <c r="V1290" s="12" t="s">
        <v>63</v>
      </c>
      <c r="W1290" s="12">
        <v>161</v>
      </c>
    </row>
    <row r="1291" spans="4:23" s="12" customFormat="1" ht="30.75" customHeight="1" thickTop="1" thickBot="1" x14ac:dyDescent="0.35">
      <c r="D1291" s="10"/>
      <c r="G1291" s="13">
        <f t="shared" si="104"/>
        <v>1290</v>
      </c>
      <c r="H1291" s="18">
        <v>46020</v>
      </c>
      <c r="I1291" s="15" t="s">
        <v>22</v>
      </c>
      <c r="J1291" s="15">
        <v>2692.5</v>
      </c>
      <c r="K1291" s="15">
        <v>10</v>
      </c>
      <c r="L1291" s="15">
        <v>2530.9499999999998</v>
      </c>
      <c r="M1291" s="16">
        <f t="shared" si="100"/>
        <v>253.09499999999997</v>
      </c>
      <c r="N1291" s="15">
        <v>0</v>
      </c>
      <c r="O1291" s="16">
        <f t="shared" si="101"/>
        <v>2692.5</v>
      </c>
      <c r="P1291" s="15" t="s">
        <v>18</v>
      </c>
      <c r="Q1291" s="15">
        <v>0.06</v>
      </c>
      <c r="R1291" s="16">
        <f t="shared" si="102"/>
        <v>161.54999999999998</v>
      </c>
      <c r="S1291" s="15">
        <v>0</v>
      </c>
      <c r="T1291" s="15">
        <v>0</v>
      </c>
      <c r="U1291" s="17">
        <f t="shared" si="103"/>
        <v>161.54999999999998</v>
      </c>
      <c r="V1291" s="12" t="s">
        <v>63</v>
      </c>
      <c r="W1291" s="12">
        <v>161</v>
      </c>
    </row>
    <row r="1292" spans="4:23" s="12" customFormat="1" ht="30.75" customHeight="1" thickTop="1" thickBot="1" x14ac:dyDescent="0.35">
      <c r="D1292" s="10"/>
      <c r="G1292" s="13">
        <f t="shared" si="104"/>
        <v>1291</v>
      </c>
      <c r="H1292" s="18">
        <v>46020</v>
      </c>
      <c r="I1292" s="15" t="s">
        <v>23</v>
      </c>
      <c r="J1292" s="15">
        <v>76800</v>
      </c>
      <c r="K1292" s="15">
        <v>400</v>
      </c>
      <c r="L1292" s="15">
        <v>72192</v>
      </c>
      <c r="M1292" s="16">
        <f t="shared" si="100"/>
        <v>180.48</v>
      </c>
      <c r="N1292" s="15">
        <v>0</v>
      </c>
      <c r="O1292" s="16">
        <f t="shared" si="101"/>
        <v>76800</v>
      </c>
      <c r="P1292" s="15" t="s">
        <v>18</v>
      </c>
      <c r="Q1292" s="15">
        <v>0.06</v>
      </c>
      <c r="R1292" s="16">
        <f t="shared" si="102"/>
        <v>4608</v>
      </c>
      <c r="S1292" s="15">
        <v>17700</v>
      </c>
      <c r="T1292" s="15">
        <v>0</v>
      </c>
      <c r="U1292" s="17">
        <f t="shared" si="103"/>
        <v>22308</v>
      </c>
      <c r="V1292" s="12" t="s">
        <v>63</v>
      </c>
      <c r="W1292" s="12">
        <v>161</v>
      </c>
    </row>
    <row r="1293" spans="4:23" s="12" customFormat="1" ht="30.75" customHeight="1" thickTop="1" thickBot="1" x14ac:dyDescent="0.35">
      <c r="D1293" s="10"/>
      <c r="G1293" s="13">
        <f t="shared" si="104"/>
        <v>1292</v>
      </c>
      <c r="H1293" s="18">
        <v>46020</v>
      </c>
      <c r="I1293" s="15" t="s">
        <v>24</v>
      </c>
      <c r="J1293" s="15">
        <v>9751.2000000000007</v>
      </c>
      <c r="K1293" s="15">
        <v>30</v>
      </c>
      <c r="L1293" s="15">
        <v>9166.1299999999992</v>
      </c>
      <c r="M1293" s="16">
        <f t="shared" si="100"/>
        <v>305.53766666666667</v>
      </c>
      <c r="N1293" s="15">
        <v>0</v>
      </c>
      <c r="O1293" s="16">
        <f t="shared" si="101"/>
        <v>9751.2000000000007</v>
      </c>
      <c r="P1293" s="15" t="s">
        <v>18</v>
      </c>
      <c r="Q1293" s="15">
        <v>0.06</v>
      </c>
      <c r="R1293" s="16">
        <f t="shared" si="102"/>
        <v>585.072</v>
      </c>
      <c r="S1293" s="15">
        <v>-7400</v>
      </c>
      <c r="T1293" s="15">
        <v>0</v>
      </c>
      <c r="U1293" s="17">
        <f t="shared" si="103"/>
        <v>-6814.9279999999999</v>
      </c>
      <c r="V1293" s="12" t="s">
        <v>63</v>
      </c>
      <c r="W1293" s="12">
        <v>161</v>
      </c>
    </row>
    <row r="1294" spans="4:23" s="12" customFormat="1" ht="30.75" customHeight="1" thickTop="1" thickBot="1" x14ac:dyDescent="0.35">
      <c r="D1294" s="10"/>
      <c r="G1294" s="13">
        <f t="shared" si="104"/>
        <v>1293</v>
      </c>
      <c r="H1294" s="18">
        <v>46020</v>
      </c>
      <c r="I1294" s="15" t="s">
        <v>31</v>
      </c>
      <c r="J1294" s="15">
        <v>3840</v>
      </c>
      <c r="K1294" s="15">
        <v>20</v>
      </c>
      <c r="L1294" s="15">
        <v>3609.6</v>
      </c>
      <c r="M1294" s="16">
        <f t="shared" si="100"/>
        <v>180.48</v>
      </c>
      <c r="N1294" s="15">
        <v>0</v>
      </c>
      <c r="O1294" s="16">
        <f t="shared" si="101"/>
        <v>3840</v>
      </c>
      <c r="P1294" s="15" t="s">
        <v>18</v>
      </c>
      <c r="Q1294" s="15">
        <v>0.06</v>
      </c>
      <c r="R1294" s="16">
        <f t="shared" si="102"/>
        <v>230.39999999999998</v>
      </c>
      <c r="S1294" s="15">
        <v>0</v>
      </c>
      <c r="T1294" s="15">
        <v>0</v>
      </c>
      <c r="U1294" s="17">
        <f t="shared" si="103"/>
        <v>230.39999999999998</v>
      </c>
      <c r="V1294" s="12" t="s">
        <v>63</v>
      </c>
      <c r="W1294" s="12">
        <v>161</v>
      </c>
    </row>
    <row r="1295" spans="4:23" s="12" customFormat="1" ht="30.75" customHeight="1" thickTop="1" thickBot="1" x14ac:dyDescent="0.35">
      <c r="D1295" s="10"/>
      <c r="G1295" s="13">
        <f t="shared" si="104"/>
        <v>1294</v>
      </c>
      <c r="H1295" s="18">
        <v>46020</v>
      </c>
      <c r="I1295" s="15" t="s">
        <v>36</v>
      </c>
      <c r="J1295" s="15">
        <v>650</v>
      </c>
      <c r="K1295" s="15">
        <v>2</v>
      </c>
      <c r="L1295" s="15">
        <v>611.08000000000004</v>
      </c>
      <c r="M1295" s="16">
        <f t="shared" si="100"/>
        <v>305.54000000000002</v>
      </c>
      <c r="N1295" s="15">
        <v>0</v>
      </c>
      <c r="O1295" s="16">
        <f t="shared" si="101"/>
        <v>650</v>
      </c>
      <c r="P1295" s="15" t="s">
        <v>18</v>
      </c>
      <c r="Q1295" s="15">
        <v>0.06</v>
      </c>
      <c r="R1295" s="16">
        <f t="shared" si="102"/>
        <v>39</v>
      </c>
      <c r="S1295" s="15">
        <v>0</v>
      </c>
      <c r="T1295" s="15">
        <v>0</v>
      </c>
      <c r="U1295" s="17">
        <f t="shared" si="103"/>
        <v>39</v>
      </c>
      <c r="V1295" s="12" t="s">
        <v>63</v>
      </c>
      <c r="W1295" s="12">
        <v>161</v>
      </c>
    </row>
    <row r="1296" spans="4:23" ht="15.75" thickTop="1" x14ac:dyDescent="0.25"/>
  </sheetData>
  <dataValidations count="4">
    <dataValidation type="list" allowBlank="1" showInputMessage="1" showErrorMessage="1" sqref="I1:I1295 JE1:JE1295 TA1:TA1295 ACW1:ACW1295 AMS1:AMS1295 AWO1:AWO1295 BGK1:BGK1295 BQG1:BQG1295 CAC1:CAC1295 CJY1:CJY1295 CTU1:CTU1295 DDQ1:DDQ1295 DNM1:DNM1295 DXI1:DXI1295 EHE1:EHE1295 ERA1:ERA1295 FAW1:FAW1295 FKS1:FKS1295 FUO1:FUO1295 GEK1:GEK1295 GOG1:GOG1295 GYC1:GYC1295 HHY1:HHY1295 HRU1:HRU1295 IBQ1:IBQ1295 ILM1:ILM1295 IVI1:IVI1295 JFE1:JFE1295 JPA1:JPA1295 JYW1:JYW1295 KIS1:KIS1295 KSO1:KSO1295 LCK1:LCK1295 LMG1:LMG1295 LWC1:LWC1295 MFY1:MFY1295 MPU1:MPU1295 MZQ1:MZQ1295 NJM1:NJM1295 NTI1:NTI1295 ODE1:ODE1295 ONA1:ONA1295 OWW1:OWW1295 PGS1:PGS1295 PQO1:PQO1295 QAK1:QAK1295 QKG1:QKG1295 QUC1:QUC1295 RDY1:RDY1295 RNU1:RNU1295 RXQ1:RXQ1295 SHM1:SHM1295 SRI1:SRI1295 TBE1:TBE1295 TLA1:TLA1295 TUW1:TUW1295 UES1:UES1295 UOO1:UOO1295 UYK1:UYK1295 VIG1:VIG1295 VSC1:VSC1295 WBY1:WBY1295 WLU1:WLU1295 WVQ1:WVQ1295" xr:uid="{D42C92CF-F2BA-4C19-963A-1944A814EEF1}">
      <formula1>$A$2:$A$183</formula1>
    </dataValidation>
    <dataValidation type="list" allowBlank="1" showInputMessage="1" showErrorMessage="1" sqref="P1:P1295 JL1:JL1295 TH1:TH1295 ADD1:ADD1295 AMZ1:AMZ1295 AWV1:AWV1295 BGR1:BGR1295 BQN1:BQN1295 CAJ1:CAJ1295 CKF1:CKF1295 CUB1:CUB1295 DDX1:DDX1295 DNT1:DNT1295 DXP1:DXP1295 EHL1:EHL1295 ERH1:ERH1295 FBD1:FBD1295 FKZ1:FKZ1295 FUV1:FUV1295 GER1:GER1295 GON1:GON1295 GYJ1:GYJ1295 HIF1:HIF1295 HSB1:HSB1295 IBX1:IBX1295 ILT1:ILT1295 IVP1:IVP1295 JFL1:JFL1295 JPH1:JPH1295 JZD1:JZD1295 KIZ1:KIZ1295 KSV1:KSV1295 LCR1:LCR1295 LMN1:LMN1295 LWJ1:LWJ1295 MGF1:MGF1295 MQB1:MQB1295 MZX1:MZX1295 NJT1:NJT1295 NTP1:NTP1295 ODL1:ODL1295 ONH1:ONH1295 OXD1:OXD1295 PGZ1:PGZ1295 PQV1:PQV1295 QAR1:QAR1295 QKN1:QKN1295 QUJ1:QUJ1295 REF1:REF1295 ROB1:ROB1295 RXX1:RXX1295 SHT1:SHT1295 SRP1:SRP1295 TBL1:TBL1295 TLH1:TLH1295 TVD1:TVD1295 UEZ1:UEZ1295 UOV1:UOV1295 UYR1:UYR1295 VIN1:VIN1295 VSJ1:VSJ1295 WCF1:WCF1295 WMB1:WMB1295 WVX1:WVX1295" xr:uid="{B70525B2-747F-48A6-B3A9-0879AB2CD179}">
      <formula1>$B$2:$B$25</formula1>
    </dataValidation>
    <dataValidation type="list" allowBlank="1" showInputMessage="1" showErrorMessage="1" sqref="Q2:Q1295 JM2:JM1295 TI2:TI1295 ADE2:ADE1295 ANA2:ANA1295 AWW2:AWW1295 BGS2:BGS1295 BQO2:BQO1295 CAK2:CAK1295 CKG2:CKG1295 CUC2:CUC1295 DDY2:DDY1295 DNU2:DNU1295 DXQ2:DXQ1295 EHM2:EHM1295 ERI2:ERI1295 FBE2:FBE1295 FLA2:FLA1295 FUW2:FUW1295 GES2:GES1295 GOO2:GOO1295 GYK2:GYK1295 HIG2:HIG1295 HSC2:HSC1295 IBY2:IBY1295 ILU2:ILU1295 IVQ2:IVQ1295 JFM2:JFM1295 JPI2:JPI1295 JZE2:JZE1295 KJA2:KJA1295 KSW2:KSW1295 LCS2:LCS1295 LMO2:LMO1295 LWK2:LWK1295 MGG2:MGG1295 MQC2:MQC1295 MZY2:MZY1295 NJU2:NJU1295 NTQ2:NTQ1295 ODM2:ODM1295 ONI2:ONI1295 OXE2:OXE1295 PHA2:PHA1295 PQW2:PQW1295 QAS2:QAS1295 QKO2:QKO1295 QUK2:QUK1295 REG2:REG1295 ROC2:ROC1295 RXY2:RXY1295 SHU2:SHU1295 SRQ2:SRQ1295 TBM2:TBM1295 TLI2:TLI1295 TVE2:TVE1295 UFA2:UFA1295 UOW2:UOW1295 UYS2:UYS1295 VIO2:VIO1295 VSK2:VSK1295 WCG2:WCG1295 WMC2:WMC1295 WVY2:WVY1295" xr:uid="{9D6F2560-B154-4A25-A6ED-791A33E49CD1}">
      <formula1>$C$2:$C$10</formula1>
    </dataValidation>
    <dataValidation type="list" allowBlank="1" showInputMessage="1" showErrorMessage="1" sqref="AB1:AB1295 JX1:JX1295 TT1:TT1295 ADP1:ADP1295 ANL1:ANL1295 AXH1:AXH1295 BHD1:BHD1295 BQZ1:BQZ1295 CAV1:CAV1295 CKR1:CKR1295 CUN1:CUN1295 DEJ1:DEJ1295 DOF1:DOF1295 DYB1:DYB1295 EHX1:EHX1295 ERT1:ERT1295 FBP1:FBP1295 FLL1:FLL1295 FVH1:FVH1295 GFD1:GFD1295 GOZ1:GOZ1295 GYV1:GYV1295 HIR1:HIR1295 HSN1:HSN1295 ICJ1:ICJ1295 IMF1:IMF1295 IWB1:IWB1295 JFX1:JFX1295 JPT1:JPT1295 JZP1:JZP1295 KJL1:KJL1295 KTH1:KTH1295 LDD1:LDD1295 LMZ1:LMZ1295 LWV1:LWV1295 MGR1:MGR1295 MQN1:MQN1295 NAJ1:NAJ1295 NKF1:NKF1295 NUB1:NUB1295 ODX1:ODX1295 ONT1:ONT1295 OXP1:OXP1295 PHL1:PHL1295 PRH1:PRH1295 QBD1:QBD1295 QKZ1:QKZ1295 QUV1:QUV1295 RER1:RER1295 RON1:RON1295 RYJ1:RYJ1295 SIF1:SIF1295 SSB1:SSB1295 TBX1:TBX1295 TLT1:TLT1295 TVP1:TVP1295 UFL1:UFL1295 UPH1:UPH1295 UZD1:UZD1295 VIZ1:VIZ1295 VSV1:VSV1295 WCR1:WCR1295 WMN1:WMN1295 WWJ1:WWJ1295 WWD2:WWD1295 JR2:JR1295 TN2:TN1295 ADJ2:ADJ1295 ANF2:ANF1295 AXB2:AXB1295 BGX2:BGX1295 BQT2:BQT1295 CAP2:CAP1295 CKL2:CKL1295 CUH2:CUH1295 DED2:DED1295 DNZ2:DNZ1295 DXV2:DXV1295 EHR2:EHR1295 ERN2:ERN1295 FBJ2:FBJ1295 FLF2:FLF1295 FVB2:FVB1295 GEX2:GEX1295 GOT2:GOT1295 GYP2:GYP1295 HIL2:HIL1295 HSH2:HSH1295 ICD2:ICD1295 ILZ2:ILZ1295 IVV2:IVV1295 JFR2:JFR1295 JPN2:JPN1295 JZJ2:JZJ1295 KJF2:KJF1295 KTB2:KTB1295 LCX2:LCX1295 LMT2:LMT1295 LWP2:LWP1295 MGL2:MGL1295 MQH2:MQH1295 NAD2:NAD1295 NJZ2:NJZ1295 NTV2:NTV1295 ODR2:ODR1295 ONN2:ONN1295 OXJ2:OXJ1295 PHF2:PHF1295 PRB2:PRB1295 QAX2:QAX1295 QKT2:QKT1295 QUP2:QUP1295 REL2:REL1295 ROH2:ROH1295 RYD2:RYD1295 SHZ2:SHZ1295 SRV2:SRV1295 TBR2:TBR1295 TLN2:TLN1295 TVJ2:TVJ1295 UFF2:UFF1295 UPB2:UPB1295 UYX2:UYX1295 VIT2:VIT1295 VSP2:VSP1295 WCL2:WCL1295 WMH2:WMH1295 V2:V1295" xr:uid="{363BA0C3-D94D-4DD9-AE5B-B63C59899D79}">
      <formula1>$D$2:$D$13</formula1>
    </dataValidation>
  </dataValidations>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95112E-3775-492C-9056-A5761466AE5C}">
  <dimension ref="A2:BD48"/>
  <sheetViews>
    <sheetView topLeftCell="M1" zoomScale="78" zoomScaleNormal="78" workbookViewId="0">
      <selection activeCell="N4" sqref="N4"/>
    </sheetView>
  </sheetViews>
  <sheetFormatPr defaultRowHeight="15" x14ac:dyDescent="0.25"/>
  <cols>
    <col min="1" max="1" width="15.28515625" bestFit="1" customWidth="1"/>
    <col min="2" max="2" width="11.140625" bestFit="1" customWidth="1"/>
    <col min="3" max="3" width="22.42578125" bestFit="1" customWidth="1"/>
    <col min="8" max="8" width="11.42578125" bestFit="1" customWidth="1"/>
    <col min="9" max="9" width="19.42578125" bestFit="1" customWidth="1"/>
    <col min="10" max="10" width="18.85546875" bestFit="1" customWidth="1"/>
    <col min="14" max="14" width="13.85546875" bestFit="1" customWidth="1"/>
    <col min="15" max="15" width="19.42578125" bestFit="1" customWidth="1"/>
    <col min="16" max="16" width="15.7109375" customWidth="1"/>
    <col min="23" max="23" width="36.85546875" bestFit="1" customWidth="1"/>
    <col min="24" max="24" width="13.7109375" bestFit="1" customWidth="1"/>
    <col min="25" max="25" width="10.140625" bestFit="1" customWidth="1"/>
    <col min="31" max="31" width="43.140625" bestFit="1" customWidth="1"/>
    <col min="32" max="32" width="17.42578125" bestFit="1" customWidth="1"/>
    <col min="33" max="33" width="12.140625" bestFit="1" customWidth="1"/>
    <col min="38" max="38" width="35.42578125" bestFit="1" customWidth="1"/>
    <col min="39" max="39" width="17.42578125" bestFit="1" customWidth="1"/>
    <col min="40" max="40" width="10.28515625" bestFit="1" customWidth="1"/>
    <col min="46" max="46" width="37.140625" bestFit="1" customWidth="1"/>
    <col min="47" max="47" width="14.28515625" bestFit="1" customWidth="1"/>
    <col min="48" max="48" width="7.140625" bestFit="1" customWidth="1"/>
    <col min="55" max="55" width="24" bestFit="1" customWidth="1"/>
    <col min="56" max="56" width="16.7109375" bestFit="1" customWidth="1"/>
  </cols>
  <sheetData>
    <row r="2" spans="1:56" ht="36" customHeight="1" x14ac:dyDescent="0.25">
      <c r="A2" t="s">
        <v>96</v>
      </c>
      <c r="I2" s="51" t="s">
        <v>125</v>
      </c>
      <c r="O2" s="51" t="s">
        <v>124</v>
      </c>
      <c r="W2" s="51" t="s">
        <v>126</v>
      </c>
      <c r="AE2" s="51" t="s">
        <v>127</v>
      </c>
      <c r="AL2" s="51" t="s">
        <v>128</v>
      </c>
      <c r="AT2" s="51" t="s">
        <v>129</v>
      </c>
      <c r="BD2" s="51" t="s">
        <v>130</v>
      </c>
    </row>
    <row r="3" spans="1:56" ht="23.25" x14ac:dyDescent="0.35">
      <c r="A3" t="s">
        <v>93</v>
      </c>
      <c r="H3" s="47" t="s">
        <v>15</v>
      </c>
      <c r="I3" s="47" t="s">
        <v>121</v>
      </c>
      <c r="N3" s="52" t="s">
        <v>100</v>
      </c>
      <c r="O3" s="52" t="s">
        <v>121</v>
      </c>
      <c r="P3" s="52" t="s">
        <v>122</v>
      </c>
      <c r="W3" s="57" t="s">
        <v>100</v>
      </c>
      <c r="X3" s="57" t="s">
        <v>121</v>
      </c>
      <c r="Y3" s="57" t="s">
        <v>120</v>
      </c>
      <c r="AE3" s="63" t="s">
        <v>100</v>
      </c>
      <c r="AF3" s="64" t="s">
        <v>121</v>
      </c>
      <c r="AG3" s="64" t="s">
        <v>120</v>
      </c>
      <c r="AL3" s="65" t="s">
        <v>100</v>
      </c>
      <c r="AM3" s="66" t="s">
        <v>121</v>
      </c>
      <c r="AN3" s="66" t="s">
        <v>120</v>
      </c>
      <c r="AT3" s="38" t="s">
        <v>100</v>
      </c>
      <c r="AU3" t="s">
        <v>121</v>
      </c>
      <c r="AV3" t="s">
        <v>120</v>
      </c>
      <c r="BC3" s="69" t="s">
        <v>100</v>
      </c>
      <c r="BD3" s="70" t="s">
        <v>121</v>
      </c>
    </row>
    <row r="4" spans="1:56" ht="26.25" x14ac:dyDescent="0.4">
      <c r="A4" s="72">
        <v>161</v>
      </c>
      <c r="H4" s="48" t="s">
        <v>107</v>
      </c>
      <c r="I4" s="49">
        <v>1616814.51</v>
      </c>
      <c r="N4" s="53" t="s">
        <v>18</v>
      </c>
      <c r="O4" s="54">
        <v>33616539.640000001</v>
      </c>
      <c r="P4" s="55">
        <v>0.8421981628076719</v>
      </c>
      <c r="W4" s="58" t="s">
        <v>17</v>
      </c>
      <c r="X4" s="59">
        <v>15204290.609999999</v>
      </c>
      <c r="Y4" s="59">
        <v>51154</v>
      </c>
      <c r="AE4" s="61" t="s">
        <v>25</v>
      </c>
      <c r="AF4" s="62">
        <v>2000559.48</v>
      </c>
      <c r="AG4" s="62">
        <v>8334</v>
      </c>
      <c r="AL4" s="67" t="s">
        <v>37</v>
      </c>
      <c r="AM4" s="68">
        <v>1174309</v>
      </c>
      <c r="AN4" s="68">
        <v>2230</v>
      </c>
      <c r="AT4" s="43" t="s">
        <v>110</v>
      </c>
      <c r="AU4" s="44">
        <v>212838.12</v>
      </c>
      <c r="AV4" s="44">
        <v>363</v>
      </c>
      <c r="BC4" s="70" t="s">
        <v>107</v>
      </c>
      <c r="BD4" s="71"/>
    </row>
    <row r="5" spans="1:56" ht="26.25" x14ac:dyDescent="0.4">
      <c r="H5" s="48" t="s">
        <v>40</v>
      </c>
      <c r="I5" s="49">
        <v>1974245.08</v>
      </c>
      <c r="N5" s="53" t="s">
        <v>102</v>
      </c>
      <c r="O5" s="54">
        <v>3748445.26</v>
      </c>
      <c r="P5" s="55">
        <v>9.3910133082249811E-2</v>
      </c>
      <c r="W5" s="58" t="s">
        <v>117</v>
      </c>
      <c r="X5" s="59">
        <v>9792783.25</v>
      </c>
      <c r="Y5" s="59">
        <v>33031</v>
      </c>
      <c r="AE5" s="61" t="s">
        <v>119</v>
      </c>
      <c r="AF5" s="62">
        <v>1045396.26</v>
      </c>
      <c r="AG5" s="62">
        <v>7772</v>
      </c>
      <c r="AL5" s="67" t="s">
        <v>28</v>
      </c>
      <c r="AM5" s="68">
        <v>916192.25</v>
      </c>
      <c r="AN5" s="68">
        <v>1695</v>
      </c>
      <c r="AT5" s="43" t="s">
        <v>109</v>
      </c>
      <c r="AU5" s="44">
        <v>88851.6</v>
      </c>
      <c r="AV5" s="44">
        <v>150</v>
      </c>
      <c r="BC5" s="70" t="s">
        <v>40</v>
      </c>
      <c r="BD5" s="71">
        <v>357430.57000000007</v>
      </c>
    </row>
    <row r="6" spans="1:56" ht="26.25" x14ac:dyDescent="0.4">
      <c r="H6" s="48" t="s">
        <v>46</v>
      </c>
      <c r="I6" s="49">
        <v>4798911.4400000004</v>
      </c>
      <c r="N6" s="53" t="s">
        <v>101</v>
      </c>
      <c r="O6" s="54">
        <v>2186763.3199999998</v>
      </c>
      <c r="P6" s="55">
        <v>5.4785176294820007E-2</v>
      </c>
      <c r="W6" s="58" t="s">
        <v>23</v>
      </c>
      <c r="X6" s="59">
        <v>5727480.7999999998</v>
      </c>
      <c r="Y6" s="59">
        <v>30796</v>
      </c>
      <c r="AE6" s="61" t="s">
        <v>39</v>
      </c>
      <c r="AF6" s="62">
        <v>409159.4</v>
      </c>
      <c r="AG6" s="62">
        <v>1386</v>
      </c>
      <c r="AL6" s="67" t="s">
        <v>57</v>
      </c>
      <c r="AM6" s="68">
        <v>84639.75</v>
      </c>
      <c r="AN6" s="68">
        <v>195</v>
      </c>
      <c r="AT6" s="43" t="s">
        <v>34</v>
      </c>
      <c r="AU6" s="44">
        <v>32035.5</v>
      </c>
      <c r="AV6" s="44">
        <v>105</v>
      </c>
      <c r="BC6" s="70" t="s">
        <v>46</v>
      </c>
      <c r="BD6" s="71">
        <v>2824666.3600000003</v>
      </c>
    </row>
    <row r="7" spans="1:56" ht="26.25" x14ac:dyDescent="0.4">
      <c r="H7" s="48" t="s">
        <v>49</v>
      </c>
      <c r="I7" s="49">
        <v>2151585.85</v>
      </c>
      <c r="N7" s="53" t="s">
        <v>33</v>
      </c>
      <c r="O7" s="54">
        <v>363489.22</v>
      </c>
      <c r="P7" s="55">
        <v>9.1065278152583119E-3</v>
      </c>
      <c r="W7" s="58" t="s">
        <v>24</v>
      </c>
      <c r="X7" s="59">
        <v>970947.48</v>
      </c>
      <c r="Y7" s="59">
        <v>3070</v>
      </c>
      <c r="AE7" s="61" t="s">
        <v>47</v>
      </c>
      <c r="AF7" s="62">
        <v>176754.38</v>
      </c>
      <c r="AG7" s="62">
        <v>519</v>
      </c>
      <c r="AL7" s="67" t="s">
        <v>43</v>
      </c>
      <c r="AM7" s="68">
        <v>6045</v>
      </c>
      <c r="AN7" s="68">
        <v>13</v>
      </c>
      <c r="AT7" s="43" t="s">
        <v>51</v>
      </c>
      <c r="AU7" s="44">
        <v>25760</v>
      </c>
      <c r="AV7" s="44">
        <v>92</v>
      </c>
      <c r="BC7" s="70" t="s">
        <v>49</v>
      </c>
      <c r="BD7" s="71">
        <v>-2647325.5900000003</v>
      </c>
    </row>
    <row r="8" spans="1:56" ht="26.25" x14ac:dyDescent="0.4">
      <c r="A8" t="s">
        <v>97</v>
      </c>
      <c r="H8" s="48" t="s">
        <v>50</v>
      </c>
      <c r="I8" s="49">
        <v>2475457.27</v>
      </c>
      <c r="N8" s="56" t="s">
        <v>103</v>
      </c>
      <c r="O8" s="54">
        <v>39915237.439999998</v>
      </c>
      <c r="P8" s="55">
        <v>1</v>
      </c>
      <c r="W8" s="58" t="s">
        <v>31</v>
      </c>
      <c r="X8" s="59">
        <v>879096.08</v>
      </c>
      <c r="Y8" s="59">
        <v>4708</v>
      </c>
      <c r="AE8" s="61" t="s">
        <v>48</v>
      </c>
      <c r="AF8" s="62">
        <v>52108</v>
      </c>
      <c r="AG8" s="62">
        <v>176</v>
      </c>
      <c r="AL8" s="67" t="s">
        <v>42</v>
      </c>
      <c r="AM8" s="68">
        <v>3211.32</v>
      </c>
      <c r="AN8" s="68">
        <v>7</v>
      </c>
      <c r="AT8" s="43" t="s">
        <v>111</v>
      </c>
      <c r="AU8" s="44">
        <v>4004</v>
      </c>
      <c r="AV8" s="44">
        <v>7</v>
      </c>
      <c r="BC8" s="70" t="s">
        <v>50</v>
      </c>
      <c r="BD8" s="71">
        <v>323871.41999999993</v>
      </c>
    </row>
    <row r="9" spans="1:56" ht="26.25" x14ac:dyDescent="0.4">
      <c r="A9" t="s">
        <v>94</v>
      </c>
      <c r="H9" s="48" t="s">
        <v>123</v>
      </c>
      <c r="I9" s="49">
        <v>4273250.7699999996</v>
      </c>
      <c r="W9" s="58" t="s">
        <v>21</v>
      </c>
      <c r="X9" s="59">
        <v>307605.45</v>
      </c>
      <c r="Y9" s="59">
        <v>1331</v>
      </c>
      <c r="AE9" s="61" t="s">
        <v>27</v>
      </c>
      <c r="AF9" s="62">
        <v>38212.22</v>
      </c>
      <c r="AG9" s="62">
        <v>106</v>
      </c>
      <c r="AL9" s="67" t="s">
        <v>108</v>
      </c>
      <c r="AM9" s="68">
        <v>2366</v>
      </c>
      <c r="AN9" s="68">
        <v>2</v>
      </c>
      <c r="AT9" s="42" t="s">
        <v>103</v>
      </c>
      <c r="AU9" s="44">
        <v>363489.22</v>
      </c>
      <c r="AV9" s="44">
        <v>717</v>
      </c>
      <c r="BC9" s="70" t="s">
        <v>123</v>
      </c>
      <c r="BD9" s="71">
        <v>1797793.4999999995</v>
      </c>
    </row>
    <row r="10" spans="1:56" ht="26.25" x14ac:dyDescent="0.4">
      <c r="A10" s="39">
        <v>39915237.439999998</v>
      </c>
      <c r="H10" s="48" t="s">
        <v>53</v>
      </c>
      <c r="I10" s="49">
        <v>2921852.62</v>
      </c>
      <c r="W10" s="58" t="s">
        <v>35</v>
      </c>
      <c r="X10" s="59">
        <v>245089.8</v>
      </c>
      <c r="Y10" s="59">
        <v>1399</v>
      </c>
      <c r="AE10" s="61" t="s">
        <v>56</v>
      </c>
      <c r="AF10" s="62">
        <v>15200</v>
      </c>
      <c r="AG10" s="62">
        <v>100</v>
      </c>
      <c r="AL10" s="66" t="s">
        <v>103</v>
      </c>
      <c r="AM10" s="68">
        <v>2186763.3199999998</v>
      </c>
      <c r="AN10" s="68">
        <v>4142</v>
      </c>
      <c r="BC10" s="70" t="s">
        <v>53</v>
      </c>
      <c r="BD10" s="71">
        <v>-1351398.1499999994</v>
      </c>
    </row>
    <row r="11" spans="1:56" ht="26.25" x14ac:dyDescent="0.4">
      <c r="H11" s="48" t="s">
        <v>54</v>
      </c>
      <c r="I11" s="49">
        <v>2651912.33</v>
      </c>
      <c r="W11" s="58" t="s">
        <v>118</v>
      </c>
      <c r="X11" s="59">
        <v>166127.25</v>
      </c>
      <c r="Y11" s="59">
        <v>617</v>
      </c>
      <c r="AE11" s="61" t="s">
        <v>38</v>
      </c>
      <c r="AF11" s="62">
        <v>7425.52</v>
      </c>
      <c r="AG11" s="62">
        <v>21</v>
      </c>
      <c r="BC11" s="70" t="s">
        <v>54</v>
      </c>
      <c r="BD11" s="71">
        <v>-269940.29000000004</v>
      </c>
    </row>
    <row r="12" spans="1:56" ht="26.25" x14ac:dyDescent="0.4">
      <c r="H12" s="48" t="s">
        <v>55</v>
      </c>
      <c r="I12" s="49">
        <v>4666946.47</v>
      </c>
      <c r="W12" s="58" t="s">
        <v>20</v>
      </c>
      <c r="X12" s="59">
        <v>128871.4</v>
      </c>
      <c r="Y12" s="59">
        <v>1017.6</v>
      </c>
      <c r="AE12" s="61" t="s">
        <v>64</v>
      </c>
      <c r="AF12" s="62">
        <v>3630</v>
      </c>
      <c r="AG12" s="62">
        <v>10</v>
      </c>
      <c r="BC12" s="70" t="s">
        <v>55</v>
      </c>
      <c r="BD12" s="71">
        <v>2015034.1399999997</v>
      </c>
    </row>
    <row r="13" spans="1:56" ht="26.25" x14ac:dyDescent="0.4">
      <c r="H13" s="48" t="s">
        <v>58</v>
      </c>
      <c r="I13" s="49">
        <v>3568504.5</v>
      </c>
      <c r="W13" s="58" t="s">
        <v>112</v>
      </c>
      <c r="X13" s="59">
        <v>71760</v>
      </c>
      <c r="Y13" s="59">
        <v>552</v>
      </c>
      <c r="AE13" s="60" t="s">
        <v>103</v>
      </c>
      <c r="AF13" s="62">
        <v>3748445.26</v>
      </c>
      <c r="AG13" s="62">
        <v>18424</v>
      </c>
      <c r="BC13" s="70" t="s">
        <v>58</v>
      </c>
      <c r="BD13" s="71">
        <v>-1098441.9699999997</v>
      </c>
    </row>
    <row r="14" spans="1:56" ht="23.25" x14ac:dyDescent="0.35">
      <c r="A14" t="s">
        <v>98</v>
      </c>
      <c r="H14" s="48" t="s">
        <v>59</v>
      </c>
      <c r="I14" s="49">
        <v>3673490.32</v>
      </c>
      <c r="W14" s="58" t="s">
        <v>36</v>
      </c>
      <c r="X14" s="59">
        <v>47640.72</v>
      </c>
      <c r="Y14" s="59">
        <v>151</v>
      </c>
      <c r="BC14" s="70" t="s">
        <v>59</v>
      </c>
      <c r="BD14" s="71">
        <v>104985.81999999983</v>
      </c>
    </row>
    <row r="15" spans="1:56" ht="23.25" x14ac:dyDescent="0.35">
      <c r="A15" t="s">
        <v>95</v>
      </c>
      <c r="H15" s="48" t="s">
        <v>63</v>
      </c>
      <c r="I15" s="49">
        <v>5142266.28</v>
      </c>
      <c r="W15" s="58" t="s">
        <v>113</v>
      </c>
      <c r="X15" s="59">
        <v>30576</v>
      </c>
      <c r="Y15" s="59">
        <v>140</v>
      </c>
      <c r="BC15" s="70" t="s">
        <v>63</v>
      </c>
      <c r="BD15" s="71">
        <v>1468775.9600000004</v>
      </c>
    </row>
    <row r="16" spans="1:56" ht="26.25" x14ac:dyDescent="0.4">
      <c r="A16" s="39">
        <v>33065667</v>
      </c>
      <c r="H16" s="47" t="s">
        <v>103</v>
      </c>
      <c r="I16" s="50">
        <v>39915237.439999998</v>
      </c>
      <c r="W16" s="58" t="s">
        <v>116</v>
      </c>
      <c r="X16" s="59">
        <v>18786.8</v>
      </c>
      <c r="Y16" s="59">
        <v>38</v>
      </c>
      <c r="BC16" s="70" t="s">
        <v>103</v>
      </c>
      <c r="BD16" s="71"/>
    </row>
    <row r="17" spans="1:25" ht="18.75" x14ac:dyDescent="0.3">
      <c r="W17" s="58" t="s">
        <v>52</v>
      </c>
      <c r="X17" s="59">
        <v>12420</v>
      </c>
      <c r="Y17" s="59">
        <v>15</v>
      </c>
    </row>
    <row r="18" spans="1:25" ht="18.75" x14ac:dyDescent="0.3">
      <c r="W18" s="58" t="s">
        <v>114</v>
      </c>
      <c r="X18" s="59">
        <v>7643</v>
      </c>
      <c r="Y18" s="59">
        <v>35</v>
      </c>
    </row>
    <row r="19" spans="1:25" ht="18.75" x14ac:dyDescent="0.3">
      <c r="W19" s="58" t="s">
        <v>44</v>
      </c>
      <c r="X19" s="59">
        <v>3456</v>
      </c>
      <c r="Y19" s="59">
        <v>3</v>
      </c>
    </row>
    <row r="20" spans="1:25" ht="18.75" x14ac:dyDescent="0.3">
      <c r="B20" t="s">
        <v>99</v>
      </c>
      <c r="W20" s="58" t="s">
        <v>115</v>
      </c>
      <c r="X20" s="59">
        <v>1965</v>
      </c>
      <c r="Y20" s="59">
        <v>9</v>
      </c>
    </row>
    <row r="21" spans="1:25" ht="21" x14ac:dyDescent="0.35">
      <c r="C21" s="40"/>
      <c r="W21" s="57" t="s">
        <v>103</v>
      </c>
      <c r="X21" s="59">
        <v>33616539.640000001</v>
      </c>
      <c r="Y21" s="59">
        <v>128066.6</v>
      </c>
    </row>
    <row r="22" spans="1:25" ht="21" x14ac:dyDescent="0.35">
      <c r="A22" s="38" t="s">
        <v>9</v>
      </c>
      <c r="B22" s="40" t="s" vm="1">
        <v>18</v>
      </c>
      <c r="C22" s="41"/>
    </row>
    <row r="23" spans="1:25" x14ac:dyDescent="0.25">
      <c r="B23" t="s">
        <v>104</v>
      </c>
    </row>
    <row r="24" spans="1:25" x14ac:dyDescent="0.25">
      <c r="A24" t="s">
        <v>94</v>
      </c>
    </row>
    <row r="25" spans="1:25" ht="21" x14ac:dyDescent="0.35">
      <c r="A25" s="39">
        <v>33616539.640000001</v>
      </c>
    </row>
    <row r="31" spans="1:25" ht="21" x14ac:dyDescent="0.35">
      <c r="A31" s="38" t="s">
        <v>9</v>
      </c>
      <c r="B31" s="40" t="s" vm="2">
        <v>102</v>
      </c>
    </row>
    <row r="32" spans="1:25" x14ac:dyDescent="0.25">
      <c r="B32" t="s">
        <v>104</v>
      </c>
    </row>
    <row r="33" spans="1:2" x14ac:dyDescent="0.25">
      <c r="A33" t="s">
        <v>94</v>
      </c>
    </row>
    <row r="34" spans="1:2" ht="21" x14ac:dyDescent="0.35">
      <c r="A34" s="39">
        <v>3748445.26</v>
      </c>
    </row>
    <row r="38" spans="1:2" ht="21" x14ac:dyDescent="0.35">
      <c r="A38" s="38" t="s">
        <v>9</v>
      </c>
      <c r="B38" s="40" t="s" vm="3">
        <v>33</v>
      </c>
    </row>
    <row r="39" spans="1:2" x14ac:dyDescent="0.25">
      <c r="B39" t="s">
        <v>105</v>
      </c>
    </row>
    <row r="40" spans="1:2" x14ac:dyDescent="0.25">
      <c r="A40" t="s">
        <v>94</v>
      </c>
    </row>
    <row r="41" spans="1:2" ht="21" x14ac:dyDescent="0.35">
      <c r="A41" s="39">
        <v>363489.22</v>
      </c>
    </row>
    <row r="45" spans="1:2" ht="21" x14ac:dyDescent="0.35">
      <c r="A45" s="38" t="s">
        <v>9</v>
      </c>
      <c r="B45" s="40" t="s" vm="4">
        <v>101</v>
      </c>
    </row>
    <row r="46" spans="1:2" x14ac:dyDescent="0.25">
      <c r="B46" t="s">
        <v>106</v>
      </c>
    </row>
    <row r="47" spans="1:2" x14ac:dyDescent="0.25">
      <c r="A47" t="s">
        <v>94</v>
      </c>
    </row>
    <row r="48" spans="1:2" ht="21" x14ac:dyDescent="0.35">
      <c r="A48" s="39">
        <v>2186763.3199999998</v>
      </c>
    </row>
  </sheetData>
  <pageMargins left="0.7" right="0.7" top="0.75" bottom="0.75" header="0.3" footer="0.3"/>
  <drawing r:id="rId15"/>
  <extLst>
    <ext xmlns:x14="http://schemas.microsoft.com/office/spreadsheetml/2009/9/main" uri="{A8765BA9-456A-4dab-B4F3-ACF838C121DE}">
      <x14:slicerList>
        <x14:slicer r:id="rId1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D6F8D-4B4F-4D31-BA9D-D884157D1616}">
  <dimension ref="A1:Q30"/>
  <sheetViews>
    <sheetView showGridLines="0" zoomScale="64" zoomScaleNormal="64" workbookViewId="0">
      <selection activeCell="S11" sqref="S11"/>
    </sheetView>
  </sheetViews>
  <sheetFormatPr defaultRowHeight="15" x14ac:dyDescent="0.25"/>
  <sheetData>
    <row r="1" spans="1:17" x14ac:dyDescent="0.25">
      <c r="A1" s="46"/>
      <c r="B1" s="46"/>
      <c r="C1" s="46"/>
      <c r="D1" s="46"/>
      <c r="E1" s="46"/>
      <c r="F1" s="46"/>
      <c r="G1" s="46"/>
      <c r="H1" s="46"/>
      <c r="I1" s="46"/>
      <c r="J1" s="46"/>
      <c r="K1" s="46"/>
      <c r="L1" s="46"/>
      <c r="M1" s="46"/>
      <c r="N1" s="46"/>
      <c r="O1" s="46"/>
      <c r="P1" s="46"/>
      <c r="Q1" s="46"/>
    </row>
    <row r="2" spans="1:17" x14ac:dyDescent="0.25">
      <c r="A2" s="46"/>
      <c r="B2" s="46"/>
      <c r="C2" s="46"/>
      <c r="D2" s="46"/>
      <c r="E2" s="46"/>
      <c r="F2" s="46"/>
      <c r="G2" s="46"/>
      <c r="H2" s="46"/>
      <c r="I2" s="46"/>
      <c r="J2" s="46"/>
      <c r="K2" s="46"/>
      <c r="L2" s="46"/>
      <c r="M2" s="46"/>
      <c r="N2" s="46"/>
      <c r="O2" s="46"/>
      <c r="P2" s="46"/>
      <c r="Q2" s="46"/>
    </row>
    <row r="3" spans="1:17" x14ac:dyDescent="0.25">
      <c r="A3" s="46"/>
      <c r="B3" s="46"/>
      <c r="C3" s="46"/>
      <c r="D3" s="46"/>
      <c r="E3" s="46"/>
      <c r="F3" s="46"/>
      <c r="G3" s="46"/>
      <c r="H3" s="46"/>
      <c r="I3" s="46"/>
      <c r="J3" s="46"/>
      <c r="K3" s="46"/>
      <c r="L3" s="46"/>
      <c r="M3" s="46"/>
      <c r="N3" s="46"/>
      <c r="O3" s="46"/>
      <c r="P3" s="46"/>
      <c r="Q3" s="46"/>
    </row>
    <row r="4" spans="1:17" x14ac:dyDescent="0.25">
      <c r="A4" s="46"/>
      <c r="B4" s="46"/>
      <c r="C4" s="46"/>
      <c r="D4" s="46"/>
      <c r="E4" s="46"/>
      <c r="F4" s="46"/>
      <c r="G4" s="46"/>
      <c r="H4" s="46"/>
      <c r="I4" s="46"/>
      <c r="J4" s="46"/>
      <c r="K4" s="46"/>
      <c r="L4" s="46"/>
      <c r="M4" s="46"/>
      <c r="N4" s="46"/>
      <c r="O4" s="46"/>
      <c r="P4" s="46"/>
      <c r="Q4" s="46"/>
    </row>
    <row r="5" spans="1:17" x14ac:dyDescent="0.25">
      <c r="A5" s="46"/>
      <c r="B5" s="46"/>
      <c r="C5" s="46"/>
      <c r="D5" s="46"/>
      <c r="E5" s="46"/>
      <c r="F5" s="46"/>
      <c r="G5" s="46"/>
      <c r="H5" s="46"/>
      <c r="I5" s="46"/>
      <c r="J5" s="46"/>
      <c r="K5" s="46"/>
      <c r="L5" s="46"/>
      <c r="M5" s="46"/>
      <c r="N5" s="46"/>
      <c r="O5" s="46"/>
      <c r="P5" s="46"/>
      <c r="Q5" s="46"/>
    </row>
    <row r="6" spans="1:17" x14ac:dyDescent="0.25">
      <c r="A6" s="46"/>
      <c r="B6" s="46"/>
      <c r="C6" s="46"/>
      <c r="D6" s="46"/>
      <c r="E6" s="46"/>
      <c r="F6" s="46"/>
      <c r="G6" s="46"/>
      <c r="H6" s="46"/>
      <c r="I6" s="46"/>
      <c r="J6" s="46"/>
      <c r="K6" s="46"/>
      <c r="L6" s="46"/>
      <c r="M6" s="46"/>
      <c r="N6" s="46"/>
      <c r="O6" s="46"/>
      <c r="P6" s="46"/>
      <c r="Q6" s="46"/>
    </row>
    <row r="7" spans="1:17" x14ac:dyDescent="0.25">
      <c r="A7" s="46"/>
      <c r="B7" s="46"/>
      <c r="C7" s="46"/>
      <c r="D7" s="46"/>
      <c r="E7" s="46"/>
      <c r="F7" s="46"/>
      <c r="G7" s="46"/>
      <c r="H7" s="46"/>
      <c r="I7" s="46"/>
      <c r="J7" s="46"/>
      <c r="K7" s="46"/>
      <c r="L7" s="46"/>
      <c r="M7" s="46"/>
      <c r="N7" s="46"/>
      <c r="O7" s="46"/>
      <c r="P7" s="46"/>
      <c r="Q7" s="46"/>
    </row>
    <row r="8" spans="1:17" x14ac:dyDescent="0.25">
      <c r="A8" s="46"/>
      <c r="B8" s="46"/>
      <c r="C8" s="46"/>
      <c r="D8" s="46"/>
      <c r="E8" s="46"/>
      <c r="F8" s="46"/>
      <c r="G8" s="46"/>
      <c r="H8" s="46"/>
      <c r="I8" s="46"/>
      <c r="J8" s="46"/>
      <c r="K8" s="46"/>
      <c r="L8" s="46"/>
      <c r="M8" s="46"/>
      <c r="N8" s="46"/>
      <c r="O8" s="46"/>
      <c r="P8" s="46"/>
      <c r="Q8" s="46"/>
    </row>
    <row r="9" spans="1:17" x14ac:dyDescent="0.25">
      <c r="A9" s="46"/>
      <c r="B9" s="46"/>
      <c r="C9" s="46"/>
      <c r="D9" s="46"/>
      <c r="E9" s="46"/>
      <c r="F9" s="46"/>
      <c r="G9" s="46"/>
      <c r="H9" s="46"/>
      <c r="I9" s="46"/>
      <c r="J9" s="46"/>
      <c r="K9" s="46"/>
      <c r="L9" s="46"/>
      <c r="M9" s="46"/>
      <c r="N9" s="46"/>
      <c r="O9" s="46"/>
      <c r="P9" s="46"/>
      <c r="Q9" s="46"/>
    </row>
    <row r="10" spans="1:17" x14ac:dyDescent="0.25">
      <c r="A10" s="46"/>
      <c r="B10" s="46"/>
      <c r="C10" s="46"/>
      <c r="D10" s="46"/>
      <c r="E10" s="46"/>
      <c r="F10" s="46"/>
      <c r="G10" s="46"/>
      <c r="H10" s="46"/>
      <c r="I10" s="46"/>
      <c r="J10" s="46"/>
      <c r="K10" s="46"/>
      <c r="L10" s="46"/>
      <c r="M10" s="46"/>
      <c r="N10" s="46"/>
      <c r="O10" s="46"/>
      <c r="P10" s="46"/>
      <c r="Q10" s="46"/>
    </row>
    <row r="11" spans="1:17" x14ac:dyDescent="0.25">
      <c r="A11" s="46"/>
      <c r="B11" s="46"/>
      <c r="C11" s="46"/>
      <c r="D11" s="46"/>
      <c r="E11" s="46"/>
      <c r="F11" s="46"/>
      <c r="G11" s="46"/>
      <c r="H11" s="46"/>
      <c r="I11" s="46"/>
      <c r="J11" s="46"/>
      <c r="K11" s="46"/>
      <c r="L11" s="46"/>
      <c r="M11" s="46"/>
      <c r="N11" s="46"/>
      <c r="O11" s="46"/>
      <c r="P11" s="46"/>
      <c r="Q11" s="46"/>
    </row>
    <row r="12" spans="1:17" x14ac:dyDescent="0.25">
      <c r="A12" s="46"/>
      <c r="B12" s="46"/>
      <c r="C12" s="46"/>
      <c r="D12" s="46"/>
      <c r="E12" s="46"/>
      <c r="F12" s="46"/>
      <c r="G12" s="46"/>
      <c r="H12" s="46"/>
      <c r="I12" s="46"/>
      <c r="J12" s="46"/>
      <c r="K12" s="46"/>
      <c r="L12" s="46"/>
      <c r="M12" s="46"/>
      <c r="N12" s="46"/>
      <c r="O12" s="46"/>
      <c r="P12" s="46"/>
      <c r="Q12" s="46"/>
    </row>
    <row r="13" spans="1:17" x14ac:dyDescent="0.25">
      <c r="A13" s="46"/>
      <c r="B13" s="46"/>
      <c r="C13" s="46"/>
      <c r="D13" s="46"/>
      <c r="E13" s="46"/>
      <c r="F13" s="46"/>
      <c r="G13" s="46"/>
      <c r="H13" s="46"/>
      <c r="I13" s="46"/>
      <c r="J13" s="46"/>
      <c r="K13" s="46"/>
      <c r="L13" s="46"/>
      <c r="M13" s="46"/>
      <c r="N13" s="46"/>
      <c r="O13" s="46"/>
      <c r="P13" s="46"/>
      <c r="Q13" s="46"/>
    </row>
    <row r="14" spans="1:17" x14ac:dyDescent="0.25">
      <c r="A14" s="46"/>
      <c r="B14" s="46"/>
      <c r="C14" s="46"/>
      <c r="D14" s="46"/>
      <c r="E14" s="46"/>
      <c r="F14" s="46"/>
      <c r="G14" s="46"/>
      <c r="H14" s="46"/>
      <c r="I14" s="46"/>
      <c r="J14" s="46"/>
      <c r="K14" s="46"/>
      <c r="L14" s="46"/>
      <c r="M14" s="46"/>
      <c r="N14" s="46"/>
      <c r="O14" s="46"/>
      <c r="P14" s="46"/>
      <c r="Q14" s="46"/>
    </row>
    <row r="15" spans="1:17" x14ac:dyDescent="0.25">
      <c r="A15" s="46"/>
      <c r="B15" s="46"/>
      <c r="C15" s="46"/>
      <c r="D15" s="46"/>
      <c r="E15" s="46"/>
      <c r="F15" s="46"/>
      <c r="G15" s="46"/>
      <c r="H15" s="46"/>
      <c r="I15" s="46"/>
      <c r="J15" s="46"/>
      <c r="K15" s="46"/>
      <c r="L15" s="46"/>
      <c r="M15" s="46"/>
      <c r="N15" s="46"/>
      <c r="O15" s="46"/>
      <c r="P15" s="46"/>
      <c r="Q15" s="46"/>
    </row>
    <row r="16" spans="1:17" x14ac:dyDescent="0.25">
      <c r="A16" s="46"/>
      <c r="B16" s="46"/>
      <c r="C16" s="46"/>
      <c r="D16" s="46"/>
      <c r="E16" s="46"/>
      <c r="F16" s="46"/>
      <c r="G16" s="46"/>
      <c r="H16" s="46"/>
      <c r="I16" s="46"/>
      <c r="J16" s="46"/>
      <c r="K16" s="46"/>
      <c r="L16" s="46"/>
      <c r="M16" s="46"/>
      <c r="N16" s="46"/>
      <c r="O16" s="46"/>
      <c r="P16" s="46"/>
      <c r="Q16" s="46"/>
    </row>
    <row r="17" spans="1:17" x14ac:dyDescent="0.25">
      <c r="A17" s="46"/>
      <c r="B17" s="46"/>
      <c r="C17" s="46"/>
      <c r="D17" s="46"/>
      <c r="E17" s="46"/>
      <c r="F17" s="46"/>
      <c r="G17" s="46"/>
      <c r="H17" s="46"/>
      <c r="I17" s="46"/>
      <c r="J17" s="46"/>
      <c r="K17" s="46"/>
      <c r="L17" s="46"/>
      <c r="M17" s="46"/>
      <c r="N17" s="46"/>
      <c r="O17" s="46"/>
      <c r="P17" s="46"/>
      <c r="Q17" s="46"/>
    </row>
    <row r="18" spans="1:17" x14ac:dyDescent="0.25">
      <c r="A18" s="46"/>
      <c r="B18" s="46"/>
      <c r="C18" s="46"/>
      <c r="D18" s="46"/>
      <c r="E18" s="46"/>
      <c r="F18" s="46"/>
      <c r="G18" s="46"/>
      <c r="H18" s="46"/>
      <c r="I18" s="46"/>
      <c r="J18" s="46"/>
      <c r="K18" s="46"/>
      <c r="L18" s="46"/>
      <c r="M18" s="46"/>
      <c r="N18" s="46"/>
      <c r="O18" s="46"/>
      <c r="P18" s="46"/>
      <c r="Q18" s="46"/>
    </row>
    <row r="19" spans="1:17" x14ac:dyDescent="0.25">
      <c r="A19" s="46"/>
      <c r="B19" s="46"/>
      <c r="C19" s="46"/>
      <c r="D19" s="46"/>
      <c r="E19" s="46"/>
      <c r="F19" s="46"/>
      <c r="G19" s="46"/>
      <c r="H19" s="46"/>
      <c r="I19" s="46"/>
      <c r="J19" s="46"/>
      <c r="K19" s="46"/>
      <c r="L19" s="46"/>
      <c r="M19" s="46"/>
      <c r="N19" s="46"/>
      <c r="O19" s="46"/>
      <c r="P19" s="46"/>
      <c r="Q19" s="46"/>
    </row>
    <row r="20" spans="1:17" x14ac:dyDescent="0.25">
      <c r="A20" s="46"/>
      <c r="B20" s="46"/>
      <c r="C20" s="46"/>
      <c r="D20" s="46"/>
      <c r="E20" s="46"/>
      <c r="F20" s="46"/>
      <c r="G20" s="46"/>
      <c r="H20" s="46"/>
      <c r="I20" s="46"/>
      <c r="J20" s="46"/>
      <c r="K20" s="46"/>
      <c r="L20" s="46"/>
      <c r="M20" s="46"/>
      <c r="N20" s="46"/>
      <c r="O20" s="46"/>
      <c r="P20" s="46"/>
      <c r="Q20" s="46"/>
    </row>
    <row r="21" spans="1:17" x14ac:dyDescent="0.25">
      <c r="A21" s="46"/>
      <c r="B21" s="46"/>
      <c r="C21" s="46"/>
      <c r="D21" s="46"/>
      <c r="E21" s="46"/>
      <c r="F21" s="46"/>
      <c r="G21" s="46"/>
      <c r="H21" s="46"/>
      <c r="I21" s="46"/>
      <c r="J21" s="46"/>
      <c r="K21" s="46"/>
      <c r="L21" s="46"/>
      <c r="M21" s="46"/>
      <c r="N21" s="46"/>
      <c r="O21" s="46"/>
      <c r="P21" s="46"/>
      <c r="Q21" s="46"/>
    </row>
    <row r="22" spans="1:17" x14ac:dyDescent="0.25">
      <c r="A22" s="46"/>
      <c r="B22" s="46"/>
      <c r="C22" s="46"/>
      <c r="D22" s="46"/>
      <c r="E22" s="46"/>
      <c r="F22" s="46"/>
      <c r="G22" s="46"/>
      <c r="H22" s="46"/>
      <c r="I22" s="46"/>
      <c r="J22" s="46"/>
      <c r="K22" s="46"/>
      <c r="L22" s="46"/>
      <c r="M22" s="46"/>
      <c r="N22" s="46"/>
      <c r="O22" s="46"/>
      <c r="P22" s="46"/>
      <c r="Q22" s="46"/>
    </row>
    <row r="23" spans="1:17" x14ac:dyDescent="0.25">
      <c r="A23" s="46"/>
      <c r="B23" s="46"/>
      <c r="C23" s="46"/>
      <c r="D23" s="46"/>
      <c r="E23" s="46"/>
      <c r="F23" s="46"/>
      <c r="G23" s="46"/>
      <c r="H23" s="46"/>
      <c r="I23" s="46"/>
      <c r="J23" s="46"/>
      <c r="K23" s="46"/>
      <c r="L23" s="46"/>
      <c r="M23" s="46"/>
      <c r="N23" s="46"/>
      <c r="O23" s="46"/>
      <c r="P23" s="46"/>
      <c r="Q23" s="46"/>
    </row>
    <row r="24" spans="1:17" x14ac:dyDescent="0.25">
      <c r="A24" s="46"/>
      <c r="B24" s="46"/>
      <c r="C24" s="46"/>
      <c r="D24" s="46"/>
      <c r="E24" s="46"/>
      <c r="F24" s="46"/>
      <c r="G24" s="46"/>
      <c r="H24" s="46"/>
      <c r="I24" s="46"/>
      <c r="J24" s="46"/>
      <c r="K24" s="46"/>
      <c r="L24" s="46"/>
      <c r="M24" s="46"/>
      <c r="N24" s="46"/>
      <c r="O24" s="46"/>
      <c r="P24" s="46"/>
      <c r="Q24" s="46"/>
    </row>
    <row r="25" spans="1:17" x14ac:dyDescent="0.25">
      <c r="A25" s="46"/>
      <c r="B25" s="46"/>
      <c r="C25" s="46"/>
      <c r="D25" s="46"/>
      <c r="E25" s="46"/>
      <c r="F25" s="46"/>
      <c r="G25" s="46"/>
      <c r="H25" s="46"/>
      <c r="I25" s="46"/>
      <c r="J25" s="46"/>
      <c r="K25" s="46"/>
      <c r="L25" s="46"/>
      <c r="M25" s="46"/>
      <c r="N25" s="46"/>
      <c r="O25" s="46"/>
      <c r="P25" s="46"/>
      <c r="Q25" s="46"/>
    </row>
    <row r="26" spans="1:17" x14ac:dyDescent="0.25">
      <c r="A26" s="46"/>
      <c r="B26" s="46"/>
      <c r="C26" s="46"/>
      <c r="D26" s="46"/>
      <c r="E26" s="46"/>
      <c r="F26" s="46"/>
      <c r="G26" s="46"/>
      <c r="H26" s="46"/>
      <c r="I26" s="46"/>
      <c r="J26" s="46"/>
      <c r="K26" s="46"/>
      <c r="L26" s="46"/>
      <c r="M26" s="46"/>
      <c r="N26" s="46"/>
      <c r="O26" s="46"/>
      <c r="P26" s="46"/>
      <c r="Q26" s="46"/>
    </row>
    <row r="27" spans="1:17" x14ac:dyDescent="0.25">
      <c r="A27" s="46"/>
      <c r="B27" s="46"/>
      <c r="C27" s="46"/>
      <c r="D27" s="46"/>
      <c r="E27" s="46"/>
      <c r="F27" s="46"/>
      <c r="G27" s="46"/>
      <c r="H27" s="46"/>
      <c r="I27" s="46"/>
      <c r="J27" s="46"/>
      <c r="K27" s="46"/>
      <c r="L27" s="46"/>
      <c r="M27" s="46"/>
      <c r="N27" s="46"/>
      <c r="O27" s="46"/>
      <c r="P27" s="46"/>
      <c r="Q27" s="46"/>
    </row>
    <row r="28" spans="1:17" x14ac:dyDescent="0.25">
      <c r="A28" s="46"/>
      <c r="B28" s="46"/>
      <c r="C28" s="46"/>
      <c r="D28" s="46"/>
      <c r="E28" s="46"/>
      <c r="F28" s="46"/>
      <c r="G28" s="46"/>
      <c r="H28" s="46"/>
      <c r="I28" s="46"/>
      <c r="J28" s="46"/>
      <c r="K28" s="46"/>
      <c r="L28" s="46"/>
      <c r="M28" s="46"/>
      <c r="N28" s="46"/>
      <c r="O28" s="46"/>
      <c r="P28" s="46"/>
      <c r="Q28" s="46"/>
    </row>
    <row r="29" spans="1:17" x14ac:dyDescent="0.25">
      <c r="A29" s="46"/>
      <c r="B29" s="46"/>
      <c r="C29" s="46"/>
      <c r="D29" s="46"/>
      <c r="E29" s="46"/>
      <c r="F29" s="46"/>
      <c r="G29" s="46"/>
      <c r="H29" s="46"/>
      <c r="I29" s="46"/>
      <c r="J29" s="46"/>
      <c r="K29" s="46"/>
      <c r="L29" s="46"/>
      <c r="M29" s="46"/>
      <c r="N29" s="46"/>
      <c r="O29" s="46"/>
      <c r="P29" s="46"/>
      <c r="Q29" s="46"/>
    </row>
    <row r="30" spans="1:17" x14ac:dyDescent="0.25">
      <c r="A30" s="46"/>
      <c r="B30" s="46"/>
      <c r="C30" s="46"/>
      <c r="D30" s="46"/>
      <c r="E30" s="46"/>
      <c r="F30" s="46"/>
      <c r="G30" s="46"/>
      <c r="H30" s="46"/>
      <c r="I30" s="46"/>
      <c r="J30" s="46"/>
      <c r="K30" s="46"/>
      <c r="L30" s="46"/>
      <c r="M30" s="46"/>
      <c r="N30" s="46"/>
      <c r="O30" s="46"/>
      <c r="P30" s="46"/>
      <c r="Q30" s="46"/>
    </row>
  </sheetData>
  <pageMargins left="0.7" right="0.7" top="0.75" bottom="0.75" header="0.3" footer="0.3"/>
  <pageSetup orientation="portrait" horizontalDpi="0" verticalDpi="0"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CC4A6-B923-4275-85B7-92087A97F278}">
  <dimension ref="A1:N26"/>
  <sheetViews>
    <sheetView showGridLines="0" tabSelected="1" zoomScale="73" zoomScaleNormal="73" workbookViewId="0">
      <selection activeCell="T20" sqref="T20"/>
    </sheetView>
  </sheetViews>
  <sheetFormatPr defaultRowHeight="15" x14ac:dyDescent="0.25"/>
  <sheetData>
    <row r="1" spans="1:14" x14ac:dyDescent="0.25">
      <c r="A1" s="46"/>
      <c r="B1" s="46"/>
      <c r="C1" s="46"/>
      <c r="D1" s="46"/>
      <c r="E1" s="46"/>
      <c r="F1" s="46"/>
      <c r="G1" s="46"/>
      <c r="H1" s="46"/>
      <c r="I1" s="46"/>
      <c r="J1" s="46"/>
      <c r="K1" s="46"/>
      <c r="L1" s="46"/>
      <c r="M1" s="46"/>
      <c r="N1" s="46"/>
    </row>
    <row r="2" spans="1:14" x14ac:dyDescent="0.25">
      <c r="A2" s="46"/>
      <c r="B2" s="46"/>
      <c r="C2" s="46"/>
      <c r="D2" s="46"/>
      <c r="E2" s="46"/>
      <c r="F2" s="46"/>
      <c r="G2" s="46"/>
      <c r="H2" s="46"/>
      <c r="I2" s="46"/>
      <c r="J2" s="46"/>
      <c r="K2" s="46"/>
      <c r="L2" s="46"/>
      <c r="M2" s="46"/>
      <c r="N2" s="46"/>
    </row>
    <row r="3" spans="1:14" x14ac:dyDescent="0.25">
      <c r="A3" s="46"/>
      <c r="B3" s="46"/>
      <c r="C3" s="46"/>
      <c r="D3" s="46"/>
      <c r="E3" s="46"/>
      <c r="F3" s="46"/>
      <c r="G3" s="46"/>
      <c r="H3" s="46"/>
      <c r="I3" s="46"/>
      <c r="J3" s="46"/>
      <c r="K3" s="46"/>
      <c r="L3" s="46"/>
      <c r="M3" s="46"/>
      <c r="N3" s="46"/>
    </row>
    <row r="4" spans="1:14" x14ac:dyDescent="0.25">
      <c r="A4" s="46"/>
      <c r="B4" s="46"/>
      <c r="C4" s="46"/>
      <c r="D4" s="46"/>
      <c r="E4" s="46"/>
      <c r="F4" s="46"/>
      <c r="G4" s="46"/>
      <c r="H4" s="46"/>
      <c r="I4" s="46"/>
      <c r="J4" s="46"/>
      <c r="K4" s="46"/>
      <c r="L4" s="46"/>
      <c r="M4" s="46"/>
      <c r="N4" s="46"/>
    </row>
    <row r="5" spans="1:14" x14ac:dyDescent="0.25">
      <c r="A5" s="46"/>
      <c r="B5" s="46"/>
      <c r="C5" s="46"/>
      <c r="D5" s="46"/>
      <c r="E5" s="46"/>
      <c r="F5" s="46"/>
      <c r="G5" s="46"/>
      <c r="H5" s="46"/>
      <c r="I5" s="46"/>
      <c r="J5" s="46"/>
      <c r="K5" s="46"/>
      <c r="L5" s="46"/>
      <c r="M5" s="46"/>
      <c r="N5" s="46"/>
    </row>
    <row r="6" spans="1:14" x14ac:dyDescent="0.25">
      <c r="A6" s="46"/>
      <c r="B6" s="46"/>
      <c r="C6" s="46"/>
      <c r="D6" s="46"/>
      <c r="E6" s="46"/>
      <c r="F6" s="46"/>
      <c r="G6" s="46"/>
      <c r="H6" s="46"/>
      <c r="I6" s="46"/>
      <c r="J6" s="46"/>
      <c r="K6" s="46"/>
      <c r="L6" s="46"/>
      <c r="M6" s="46"/>
      <c r="N6" s="46"/>
    </row>
    <row r="7" spans="1:14" x14ac:dyDescent="0.25">
      <c r="A7" s="46"/>
      <c r="B7" s="46"/>
      <c r="C7" s="46"/>
      <c r="D7" s="46"/>
      <c r="E7" s="46"/>
      <c r="F7" s="46"/>
      <c r="G7" s="46"/>
      <c r="H7" s="46"/>
      <c r="I7" s="46"/>
      <c r="J7" s="46"/>
      <c r="K7" s="46"/>
      <c r="L7" s="46"/>
      <c r="M7" s="46"/>
      <c r="N7" s="46"/>
    </row>
    <row r="8" spans="1:14" x14ac:dyDescent="0.25">
      <c r="A8" s="46"/>
      <c r="B8" s="46"/>
      <c r="C8" s="46"/>
      <c r="D8" s="46"/>
      <c r="E8" s="46"/>
      <c r="F8" s="46"/>
      <c r="G8" s="46"/>
      <c r="H8" s="46"/>
      <c r="I8" s="46"/>
      <c r="J8" s="46"/>
      <c r="K8" s="46"/>
      <c r="L8" s="46"/>
      <c r="M8" s="46"/>
      <c r="N8" s="46"/>
    </row>
    <row r="9" spans="1:14" x14ac:dyDescent="0.25">
      <c r="A9" s="46"/>
      <c r="B9" s="46"/>
      <c r="C9" s="46"/>
      <c r="D9" s="46"/>
      <c r="E9" s="46"/>
      <c r="F9" s="46"/>
      <c r="G9" s="46"/>
      <c r="H9" s="46"/>
      <c r="I9" s="46"/>
      <c r="J9" s="46"/>
      <c r="K9" s="46"/>
      <c r="L9" s="46"/>
      <c r="M9" s="46"/>
      <c r="N9" s="46"/>
    </row>
    <row r="10" spans="1:14" x14ac:dyDescent="0.25">
      <c r="A10" s="46"/>
      <c r="B10" s="46"/>
      <c r="C10" s="46"/>
      <c r="D10" s="46"/>
      <c r="E10" s="46"/>
      <c r="F10" s="46"/>
      <c r="G10" s="46"/>
      <c r="H10" s="46"/>
      <c r="I10" s="46"/>
      <c r="J10" s="46"/>
      <c r="K10" s="46"/>
      <c r="L10" s="46"/>
      <c r="M10" s="46"/>
      <c r="N10" s="46"/>
    </row>
    <row r="11" spans="1:14" x14ac:dyDescent="0.25">
      <c r="A11" s="46"/>
      <c r="B11" s="46"/>
      <c r="C11" s="46"/>
      <c r="D11" s="46"/>
      <c r="E11" s="46"/>
      <c r="F11" s="46"/>
      <c r="G11" s="46"/>
      <c r="H11" s="46"/>
      <c r="I11" s="46"/>
      <c r="J11" s="46"/>
      <c r="K11" s="46"/>
      <c r="L11" s="46"/>
      <c r="M11" s="46"/>
      <c r="N11" s="46"/>
    </row>
    <row r="12" spans="1:14" x14ac:dyDescent="0.25">
      <c r="A12" s="46"/>
      <c r="B12" s="46"/>
      <c r="C12" s="46"/>
      <c r="D12" s="46"/>
      <c r="E12" s="46"/>
      <c r="F12" s="46"/>
      <c r="G12" s="46"/>
      <c r="H12" s="46"/>
      <c r="I12" s="46"/>
      <c r="J12" s="46"/>
      <c r="K12" s="46"/>
      <c r="L12" s="46"/>
      <c r="M12" s="46"/>
      <c r="N12" s="46"/>
    </row>
    <row r="13" spans="1:14" x14ac:dyDescent="0.25">
      <c r="A13" s="46"/>
      <c r="B13" s="46"/>
      <c r="C13" s="46"/>
      <c r="D13" s="46"/>
      <c r="E13" s="46"/>
      <c r="F13" s="46"/>
      <c r="G13" s="46"/>
      <c r="H13" s="46"/>
      <c r="I13" s="46"/>
      <c r="J13" s="46"/>
      <c r="K13" s="46"/>
      <c r="L13" s="46"/>
      <c r="M13" s="46"/>
      <c r="N13" s="46"/>
    </row>
    <row r="14" spans="1:14" x14ac:dyDescent="0.25">
      <c r="A14" s="46"/>
      <c r="B14" s="46"/>
      <c r="C14" s="46"/>
      <c r="D14" s="46"/>
      <c r="E14" s="46"/>
      <c r="F14" s="46"/>
      <c r="G14" s="46"/>
      <c r="H14" s="46"/>
      <c r="I14" s="46"/>
      <c r="J14" s="46"/>
      <c r="K14" s="46"/>
      <c r="L14" s="46"/>
      <c r="M14" s="46"/>
      <c r="N14" s="46"/>
    </row>
    <row r="15" spans="1:14" x14ac:dyDescent="0.25">
      <c r="A15" s="46"/>
      <c r="B15" s="46"/>
      <c r="C15" s="46"/>
      <c r="D15" s="46"/>
      <c r="E15" s="46"/>
      <c r="F15" s="46"/>
      <c r="G15" s="46"/>
      <c r="H15" s="46"/>
      <c r="I15" s="46"/>
      <c r="J15" s="46"/>
      <c r="K15" s="46"/>
      <c r="L15" s="46"/>
      <c r="M15" s="46"/>
      <c r="N15" s="46"/>
    </row>
    <row r="16" spans="1:14" x14ac:dyDescent="0.25">
      <c r="A16" s="46"/>
      <c r="B16" s="46"/>
      <c r="C16" s="46"/>
      <c r="D16" s="46"/>
      <c r="E16" s="46"/>
      <c r="F16" s="46"/>
      <c r="G16" s="46"/>
      <c r="H16" s="46"/>
      <c r="I16" s="46"/>
      <c r="J16" s="46"/>
      <c r="K16" s="46"/>
      <c r="L16" s="46"/>
      <c r="M16" s="46"/>
      <c r="N16" s="46"/>
    </row>
    <row r="17" spans="1:14" x14ac:dyDescent="0.25">
      <c r="A17" s="46"/>
      <c r="B17" s="46"/>
      <c r="C17" s="46"/>
      <c r="D17" s="46"/>
      <c r="E17" s="46"/>
      <c r="F17" s="46"/>
      <c r="G17" s="46"/>
      <c r="H17" s="46"/>
      <c r="I17" s="46"/>
      <c r="J17" s="46"/>
      <c r="K17" s="46"/>
      <c r="L17" s="46"/>
      <c r="M17" s="46"/>
      <c r="N17" s="46"/>
    </row>
    <row r="18" spans="1:14" x14ac:dyDescent="0.25">
      <c r="A18" s="46"/>
      <c r="B18" s="46"/>
      <c r="C18" s="46"/>
      <c r="D18" s="46"/>
      <c r="E18" s="46"/>
      <c r="F18" s="46"/>
      <c r="G18" s="46"/>
      <c r="H18" s="46"/>
      <c r="I18" s="46"/>
      <c r="J18" s="46"/>
      <c r="K18" s="46"/>
      <c r="L18" s="46"/>
      <c r="M18" s="46"/>
      <c r="N18" s="46"/>
    </row>
    <row r="19" spans="1:14" x14ac:dyDescent="0.25">
      <c r="A19" s="46"/>
      <c r="B19" s="46"/>
      <c r="C19" s="46"/>
      <c r="D19" s="46"/>
      <c r="E19" s="46"/>
      <c r="F19" s="46"/>
      <c r="G19" s="46"/>
      <c r="H19" s="46"/>
      <c r="I19" s="46"/>
      <c r="J19" s="46"/>
      <c r="K19" s="46"/>
      <c r="L19" s="46"/>
      <c r="M19" s="46"/>
      <c r="N19" s="46"/>
    </row>
    <row r="20" spans="1:14" x14ac:dyDescent="0.25">
      <c r="A20" s="46"/>
      <c r="B20" s="46"/>
      <c r="C20" s="46"/>
      <c r="D20" s="46"/>
      <c r="E20" s="46"/>
      <c r="F20" s="46"/>
      <c r="G20" s="46"/>
      <c r="H20" s="46"/>
      <c r="I20" s="46"/>
      <c r="J20" s="46"/>
      <c r="K20" s="46"/>
      <c r="L20" s="46"/>
      <c r="M20" s="46"/>
      <c r="N20" s="46"/>
    </row>
    <row r="21" spans="1:14" x14ac:dyDescent="0.25">
      <c r="A21" s="46"/>
      <c r="B21" s="46"/>
      <c r="C21" s="46"/>
      <c r="D21" s="46"/>
      <c r="E21" s="46"/>
      <c r="F21" s="46"/>
      <c r="G21" s="46"/>
      <c r="H21" s="46"/>
      <c r="I21" s="46"/>
      <c r="J21" s="46"/>
      <c r="K21" s="46"/>
      <c r="L21" s="46"/>
      <c r="M21" s="46"/>
      <c r="N21" s="46"/>
    </row>
    <row r="22" spans="1:14" x14ac:dyDescent="0.25">
      <c r="A22" s="46"/>
      <c r="B22" s="46"/>
      <c r="C22" s="46"/>
      <c r="D22" s="46"/>
      <c r="E22" s="46"/>
      <c r="F22" s="46"/>
      <c r="G22" s="46"/>
      <c r="H22" s="46"/>
      <c r="I22" s="46"/>
      <c r="J22" s="46"/>
      <c r="K22" s="46"/>
      <c r="L22" s="46"/>
      <c r="M22" s="46"/>
      <c r="N22" s="46"/>
    </row>
    <row r="23" spans="1:14" x14ac:dyDescent="0.25">
      <c r="A23" s="46"/>
      <c r="B23" s="46"/>
      <c r="C23" s="46"/>
      <c r="D23" s="46"/>
      <c r="E23" s="46"/>
      <c r="F23" s="46"/>
      <c r="G23" s="46"/>
      <c r="H23" s="46"/>
      <c r="I23" s="46"/>
      <c r="J23" s="46"/>
      <c r="K23" s="46"/>
      <c r="L23" s="46"/>
      <c r="M23" s="46"/>
      <c r="N23" s="46"/>
    </row>
    <row r="24" spans="1:14" x14ac:dyDescent="0.25">
      <c r="A24" s="46"/>
      <c r="B24" s="46"/>
      <c r="C24" s="46"/>
      <c r="D24" s="46"/>
      <c r="E24" s="46"/>
      <c r="F24" s="46"/>
      <c r="G24" s="46"/>
      <c r="H24" s="46"/>
      <c r="I24" s="46"/>
      <c r="J24" s="46"/>
      <c r="K24" s="46"/>
      <c r="L24" s="46"/>
      <c r="M24" s="46"/>
      <c r="N24" s="46"/>
    </row>
    <row r="25" spans="1:14" x14ac:dyDescent="0.25">
      <c r="A25" s="46"/>
      <c r="B25" s="46"/>
      <c r="C25" s="46"/>
      <c r="D25" s="46"/>
      <c r="E25" s="46"/>
      <c r="F25" s="46"/>
      <c r="G25" s="46"/>
      <c r="H25" s="46"/>
      <c r="I25" s="46"/>
      <c r="J25" s="46"/>
      <c r="K25" s="46"/>
      <c r="L25" s="46"/>
      <c r="M25" s="46"/>
      <c r="N25" s="46"/>
    </row>
    <row r="26" spans="1:14" x14ac:dyDescent="0.25">
      <c r="A26" s="46"/>
      <c r="B26" s="46"/>
      <c r="C26" s="46"/>
      <c r="D26" s="46"/>
      <c r="E26" s="46"/>
      <c r="F26" s="46"/>
      <c r="G26" s="46"/>
      <c r="H26" s="46"/>
      <c r="I26" s="46"/>
      <c r="J26" s="46"/>
      <c r="K26" s="46"/>
      <c r="L26" s="46"/>
      <c r="M26" s="46"/>
      <c r="N26" s="4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24A3F8A6-3B12-4D6D-B6D4-04632393FB15}">
  <ds:schemaRefs/>
</ds:datastoreItem>
</file>

<file path=customXml/itemProps2.xml><?xml version="1.0" encoding="utf-8"?>
<ds:datastoreItem xmlns:ds="http://schemas.openxmlformats.org/officeDocument/2006/customXml" ds:itemID="{5F62E1C7-7D44-4767-86F5-D7ADEAEAA01A}">
  <ds:schemaRefs/>
</ds:datastoreItem>
</file>

<file path=customXml/itemProps3.xml><?xml version="1.0" encoding="utf-8"?>
<ds:datastoreItem xmlns:ds="http://schemas.openxmlformats.org/officeDocument/2006/customXml" ds:itemID="{E32002BA-B5FD-4E67-ABB2-D135C88578FC}">
  <ds:schemaRefs/>
</ds:datastoreItem>
</file>

<file path=customXml/itemProps4.xml><?xml version="1.0" encoding="utf-8"?>
<ds:datastoreItem xmlns:ds="http://schemas.openxmlformats.org/officeDocument/2006/customXml" ds:itemID="{2D311448-590D-44AB-872D-5277392EB706}">
  <ds:schemaRefs>
    <ds:schemaRef ds:uri="http://schemas.microsoft.com/DataMashup"/>
  </ds:schemaRefs>
</ds:datastoreItem>
</file>

<file path=customXml/itemProps5.xml><?xml version="1.0" encoding="utf-8"?>
<ds:datastoreItem xmlns:ds="http://schemas.openxmlformats.org/officeDocument/2006/customXml" ds:itemID="{897655A5-2255-48FA-AC3D-01F83F7AEC79}">
  <ds:schemaRefs/>
</ds:datastoreItem>
</file>

<file path=customXml/itemProps6.xml><?xml version="1.0" encoding="utf-8"?>
<ds:datastoreItem xmlns:ds="http://schemas.openxmlformats.org/officeDocument/2006/customXml" ds:itemID="{64444CA4-4C10-4154-93D7-EA27E2C14FE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vt:lpstr>
      <vt:lpstr>Pivot Table</vt:lpstr>
      <vt:lpstr>DashBoerd</vt:lpstr>
      <vt:lpstr>DachBored2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dc:creator>
  <cp:lastModifiedBy>f 19224</cp:lastModifiedBy>
  <dcterms:created xsi:type="dcterms:W3CDTF">2015-06-05T18:17:20Z</dcterms:created>
  <dcterms:modified xsi:type="dcterms:W3CDTF">2026-07-23T15:16:22Z</dcterms:modified>
</cp:coreProperties>
</file>